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OOKUP" sheetId="2" state="visible" r:id="rId4"/>
    <sheet name="PRICES" sheetId="3" state="visible" r:id="rId5"/>
    <sheet name="COACH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<sst xmlns="http://schemas.openxmlformats.org/spreadsheetml/2006/main" count="571" uniqueCount="255">
  <si>
    <t xml:space="preserve">3MAPGOT v2 LIVE CALCULATOR — NHL 3-gap P3 (context edition, 2026-07-25c)</t>
  </si>
  <si>
    <t xml:space="preserve">NEW: home/away + favorite/underdog now priced (fitted: home x1.34, underdog x0.64,</t>
  </si>
  <si>
    <t xml:space="preserve">favorite x1.07 vs even). These improved every market's blind-test score.</t>
  </si>
  <si>
    <t xml:space="preserve">Coach multipliers are CONTEXT-CLEANED (his pull tendency after removing where his team</t>
  </si>
  <si>
    <t xml:space="preserve">played and their standing), then shrunk (k=2) and attenuated x0.355 (measured persistence).</t>
  </si>
  <si>
    <t xml:space="preserve">Roy exception: his early-pull timing (+67s, persistent both seasons) is priced in his rows</t>
  </si>
  <si>
    <t xml:space="preserve">of the COACHES tab note; for other coaches timing = league curve.</t>
  </si>
  <si>
    <t xml:space="preserve">KNOWN BIAS: 'LEADER scores again' runs ~4-5 pts conservative — fine for OVERS, never unders.</t>
  </si>
  <si>
    <t xml:space="preserve">Pulled-state rows above 7:00 remaining are extrapolation. Provenance: docs/ in the v2 repo.</t>
  </si>
  <si>
    <t xml:space="preserve">BETTING STANCE: decision support, conservative sizing; systematic betting awaits odds capture.</t>
  </si>
  <si>
    <t xml:space="preserve">USE: LOOKUP tab -&gt; 5 yellow cells -&gt; 4 probabilities. Yellow=input, grey=computed.</t>
  </si>
  <si>
    <t xml:space="preserve">LOW-TAIL COACHES (red note on COACHES tab, e.g. Huska/Sorensen): their refusal to pull is a philosophy, not a context effect — home/favorite multipliers DO NOT apply to them (measured: their home rate isn't higher). For these coaches enter 'n'/'even' regardless of actual context and treat their coach m as a ceiling.</t>
  </si>
  <si>
    <t xml:space="preserve">LIVE LOOKUP — fill the 5 yellow cells</t>
  </si>
  <si>
    <t xml:space="preserve">Time remaining (15:00,13:00,11:00,10:00,8:00,6:00,5:00,4:00,3:00)</t>
  </si>
  <si>
    <t xml:space="preserve">10:00</t>
  </si>
  <si>
    <t xml:space="preserve">State (not_pulled_EV / not_pulled_PP / pulled)</t>
  </si>
  <si>
    <t xml:space="preserve">not_pulled_EV</t>
  </si>
  <si>
    <t xml:space="preserve">Coach PRODUCTION m (COACHES col E; unknown = 1.00)</t>
  </si>
  <si>
    <t xml:space="preserve">Trailing team at HOME? (y/n)</t>
  </si>
  <si>
    <t xml:space="preserve">n</t>
  </si>
  <si>
    <t xml:space="preserve">Trailing team is... (fav / even / dog) by standings</t>
  </si>
  <si>
    <t xml:space="preserve">even</t>
  </si>
  <si>
    <t xml:space="preserve">R secs / m_total:</t>
  </si>
  <si>
    <t xml:space="preserve">tier lo/hi/weight:</t>
  </si>
  <si>
    <t xml:space="preserve">keys:</t>
  </si>
  <si>
    <t xml:space="preserve">MARKET PROBABILITIES</t>
  </si>
  <si>
    <t xml:space="preserve">P(any more goal) — game total</t>
  </si>
  <si>
    <t xml:space="preserve">P(2+ more goals)</t>
  </si>
  <si>
    <t xml:space="preserve">P(LEADER scores again) — team total (add ~4pts, see README)</t>
  </si>
  <si>
    <t xml:space="preserve">P(leader wins by 4+) — the -3.5</t>
  </si>
  <si>
    <t xml:space="preserve">Warning:</t>
  </si>
  <si>
    <t xml:space="preserve">key</t>
  </si>
  <si>
    <t xml:space="preserve">time_left</t>
  </si>
  <si>
    <t xml:space="preserve">R_secs</t>
  </si>
  <si>
    <t xml:space="preserve">state</t>
  </si>
  <si>
    <t xml:space="preserve">m_tier</t>
  </si>
  <si>
    <t xml:space="preserve">P_total_ge1</t>
  </si>
  <si>
    <t xml:space="preserve">P_total_ge2</t>
  </si>
  <si>
    <t xml:space="preserve">P_leader_ge1</t>
  </si>
  <si>
    <t xml:space="preserve">P_margin_ge4</t>
  </si>
  <si>
    <t xml:space="preserve">900|not_pulled_EV|0.55</t>
  </si>
  <si>
    <t xml:space="preserve">15:00</t>
  </si>
  <si>
    <t xml:space="preserve">900|not_pulled_EV|0.80</t>
  </si>
  <si>
    <t xml:space="preserve">900|not_pulled_EV|1.00</t>
  </si>
  <si>
    <t xml:space="preserve">900|not_pulled_EV|1.30</t>
  </si>
  <si>
    <t xml:space="preserve">900|not_pulled_EV|1.85</t>
  </si>
  <si>
    <t xml:space="preserve">900|not_pulled_EV|2.40</t>
  </si>
  <si>
    <t xml:space="preserve">900|not_pulled_PP|0.55</t>
  </si>
  <si>
    <t xml:space="preserve">not_pulled_PP</t>
  </si>
  <si>
    <t xml:space="preserve">900|not_pulled_PP|0.80</t>
  </si>
  <si>
    <t xml:space="preserve">900|not_pulled_PP|1.00</t>
  </si>
  <si>
    <t xml:space="preserve">900|not_pulled_PP|1.30</t>
  </si>
  <si>
    <t xml:space="preserve">900|not_pulled_PP|1.85</t>
  </si>
  <si>
    <t xml:space="preserve">900|not_pulled_PP|2.40</t>
  </si>
  <si>
    <t xml:space="preserve">900|pulled|0.55</t>
  </si>
  <si>
    <t xml:space="preserve">pulled</t>
  </si>
  <si>
    <t xml:space="preserve">900|pulled|0.80</t>
  </si>
  <si>
    <t xml:space="preserve">900|pulled|1.00</t>
  </si>
  <si>
    <t xml:space="preserve">900|pulled|1.30</t>
  </si>
  <si>
    <t xml:space="preserve">900|pulled|1.85</t>
  </si>
  <si>
    <t xml:space="preserve">900|pulled|2.40</t>
  </si>
  <si>
    <t xml:space="preserve">780|not_pulled_EV|0.55</t>
  </si>
  <si>
    <t xml:space="preserve">13:00</t>
  </si>
  <si>
    <t xml:space="preserve">780|not_pulled_EV|0.80</t>
  </si>
  <si>
    <t xml:space="preserve">780|not_pulled_EV|1.00</t>
  </si>
  <si>
    <t xml:space="preserve">780|not_pulled_EV|1.30</t>
  </si>
  <si>
    <t xml:space="preserve">780|not_pulled_EV|1.85</t>
  </si>
  <si>
    <t xml:space="preserve">780|not_pulled_EV|2.40</t>
  </si>
  <si>
    <t xml:space="preserve">780|not_pulled_PP|0.55</t>
  </si>
  <si>
    <t xml:space="preserve">780|not_pulled_PP|0.80</t>
  </si>
  <si>
    <t xml:space="preserve">780|not_pulled_PP|1.00</t>
  </si>
  <si>
    <t xml:space="preserve">780|not_pulled_PP|1.30</t>
  </si>
  <si>
    <t xml:space="preserve">780|not_pulled_PP|1.85</t>
  </si>
  <si>
    <t xml:space="preserve">780|not_pulled_PP|2.40</t>
  </si>
  <si>
    <t xml:space="preserve">780|pulled|0.55</t>
  </si>
  <si>
    <t xml:space="preserve">780|pulled|0.80</t>
  </si>
  <si>
    <t xml:space="preserve">780|pulled|1.00</t>
  </si>
  <si>
    <t xml:space="preserve">780|pulled|1.30</t>
  </si>
  <si>
    <t xml:space="preserve">780|pulled|1.85</t>
  </si>
  <si>
    <t xml:space="preserve">780|pulled|2.40</t>
  </si>
  <si>
    <t xml:space="preserve">660|not_pulled_EV|0.55</t>
  </si>
  <si>
    <t xml:space="preserve">11:00</t>
  </si>
  <si>
    <t xml:space="preserve">660|not_pulled_EV|0.80</t>
  </si>
  <si>
    <t xml:space="preserve">660|not_pulled_EV|1.00</t>
  </si>
  <si>
    <t xml:space="preserve">660|not_pulled_EV|1.30</t>
  </si>
  <si>
    <t xml:space="preserve">660|not_pulled_EV|1.85</t>
  </si>
  <si>
    <t xml:space="preserve">660|not_pulled_EV|2.40</t>
  </si>
  <si>
    <t xml:space="preserve">660|not_pulled_PP|0.55</t>
  </si>
  <si>
    <t xml:space="preserve">660|not_pulled_PP|0.80</t>
  </si>
  <si>
    <t xml:space="preserve">660|not_pulled_PP|1.00</t>
  </si>
  <si>
    <t xml:space="preserve">660|not_pulled_PP|1.30</t>
  </si>
  <si>
    <t xml:space="preserve">660|not_pulled_PP|1.85</t>
  </si>
  <si>
    <t xml:space="preserve">660|not_pulled_PP|2.40</t>
  </si>
  <si>
    <t xml:space="preserve">660|pulled|0.55</t>
  </si>
  <si>
    <t xml:space="preserve">660|pulled|0.80</t>
  </si>
  <si>
    <t xml:space="preserve">660|pulled|1.00</t>
  </si>
  <si>
    <t xml:space="preserve">660|pulled|1.30</t>
  </si>
  <si>
    <t xml:space="preserve">660|pulled|1.85</t>
  </si>
  <si>
    <t xml:space="preserve">660|pulled|2.40</t>
  </si>
  <si>
    <t xml:space="preserve">600|not_pulled_EV|0.55</t>
  </si>
  <si>
    <t xml:space="preserve">600|not_pulled_EV|0.80</t>
  </si>
  <si>
    <t xml:space="preserve">600|not_pulled_EV|1.00</t>
  </si>
  <si>
    <t xml:space="preserve">600|not_pulled_EV|1.30</t>
  </si>
  <si>
    <t xml:space="preserve">600|not_pulled_EV|1.85</t>
  </si>
  <si>
    <t xml:space="preserve">600|not_pulled_EV|2.40</t>
  </si>
  <si>
    <t xml:space="preserve">600|not_pulled_PP|0.55</t>
  </si>
  <si>
    <t xml:space="preserve">600|not_pulled_PP|0.80</t>
  </si>
  <si>
    <t xml:space="preserve">600|not_pulled_PP|1.00</t>
  </si>
  <si>
    <t xml:space="preserve">600|not_pulled_PP|1.30</t>
  </si>
  <si>
    <t xml:space="preserve">600|not_pulled_PP|1.85</t>
  </si>
  <si>
    <t xml:space="preserve">600|not_pulled_PP|2.40</t>
  </si>
  <si>
    <t xml:space="preserve">600|pulled|0.55</t>
  </si>
  <si>
    <t xml:space="preserve">600|pulled|0.80</t>
  </si>
  <si>
    <t xml:space="preserve">600|pulled|1.00</t>
  </si>
  <si>
    <t xml:space="preserve">600|pulled|1.30</t>
  </si>
  <si>
    <t xml:space="preserve">600|pulled|1.85</t>
  </si>
  <si>
    <t xml:space="preserve">600|pulled|2.40</t>
  </si>
  <si>
    <t xml:space="preserve">480|not_pulled_EV|0.55</t>
  </si>
  <si>
    <t xml:space="preserve">8:00</t>
  </si>
  <si>
    <t xml:space="preserve">480|not_pulled_EV|0.80</t>
  </si>
  <si>
    <t xml:space="preserve">480|not_pulled_EV|1.00</t>
  </si>
  <si>
    <t xml:space="preserve">480|not_pulled_EV|1.30</t>
  </si>
  <si>
    <t xml:space="preserve">480|not_pulled_EV|1.85</t>
  </si>
  <si>
    <t xml:space="preserve">480|not_pulled_EV|2.40</t>
  </si>
  <si>
    <t xml:space="preserve">480|not_pulled_PP|0.55</t>
  </si>
  <si>
    <t xml:space="preserve">480|not_pulled_PP|0.80</t>
  </si>
  <si>
    <t xml:space="preserve">480|not_pulled_PP|1.00</t>
  </si>
  <si>
    <t xml:space="preserve">480|not_pulled_PP|1.30</t>
  </si>
  <si>
    <t xml:space="preserve">480|not_pulled_PP|1.85</t>
  </si>
  <si>
    <t xml:space="preserve">480|not_pulled_PP|2.40</t>
  </si>
  <si>
    <t xml:space="preserve">480|pulled|0.55</t>
  </si>
  <si>
    <t xml:space="preserve">480|pulled|0.80</t>
  </si>
  <si>
    <t xml:space="preserve">480|pulled|1.00</t>
  </si>
  <si>
    <t xml:space="preserve">480|pulled|1.30</t>
  </si>
  <si>
    <t xml:space="preserve">480|pulled|1.85</t>
  </si>
  <si>
    <t xml:space="preserve">480|pulled|2.40</t>
  </si>
  <si>
    <t xml:space="preserve">360|not_pulled_EV|0.55</t>
  </si>
  <si>
    <t xml:space="preserve">6:00</t>
  </si>
  <si>
    <t xml:space="preserve">360|not_pulled_EV|0.80</t>
  </si>
  <si>
    <t xml:space="preserve">360|not_pulled_EV|1.00</t>
  </si>
  <si>
    <t xml:space="preserve">360|not_pulled_EV|1.30</t>
  </si>
  <si>
    <t xml:space="preserve">360|not_pulled_EV|1.85</t>
  </si>
  <si>
    <t xml:space="preserve">360|not_pulled_EV|2.40</t>
  </si>
  <si>
    <t xml:space="preserve">360|not_pulled_PP|0.55</t>
  </si>
  <si>
    <t xml:space="preserve">360|not_pulled_PP|0.80</t>
  </si>
  <si>
    <t xml:space="preserve">360|not_pulled_PP|1.00</t>
  </si>
  <si>
    <t xml:space="preserve">360|not_pulled_PP|1.30</t>
  </si>
  <si>
    <t xml:space="preserve">360|not_pulled_PP|1.85</t>
  </si>
  <si>
    <t xml:space="preserve">360|not_pulled_PP|2.40</t>
  </si>
  <si>
    <t xml:space="preserve">360|pulled|0.55</t>
  </si>
  <si>
    <t xml:space="preserve">360|pulled|0.80</t>
  </si>
  <si>
    <t xml:space="preserve">360|pulled|1.00</t>
  </si>
  <si>
    <t xml:space="preserve">360|pulled|1.30</t>
  </si>
  <si>
    <t xml:space="preserve">360|pulled|1.85</t>
  </si>
  <si>
    <t xml:space="preserve">360|pulled|2.40</t>
  </si>
  <si>
    <t xml:space="preserve">300|not_pulled_EV|0.55</t>
  </si>
  <si>
    <t xml:space="preserve">5:00</t>
  </si>
  <si>
    <t xml:space="preserve">300|not_pulled_EV|0.80</t>
  </si>
  <si>
    <t xml:space="preserve">300|not_pulled_EV|1.00</t>
  </si>
  <si>
    <t xml:space="preserve">300|not_pulled_EV|1.30</t>
  </si>
  <si>
    <t xml:space="preserve">300|not_pulled_EV|1.85</t>
  </si>
  <si>
    <t xml:space="preserve">300|not_pulled_EV|2.40</t>
  </si>
  <si>
    <t xml:space="preserve">300|not_pulled_PP|0.55</t>
  </si>
  <si>
    <t xml:space="preserve">300|not_pulled_PP|0.80</t>
  </si>
  <si>
    <t xml:space="preserve">300|not_pulled_PP|1.00</t>
  </si>
  <si>
    <t xml:space="preserve">300|not_pulled_PP|1.30</t>
  </si>
  <si>
    <t xml:space="preserve">300|not_pulled_PP|1.85</t>
  </si>
  <si>
    <t xml:space="preserve">300|not_pulled_PP|2.40</t>
  </si>
  <si>
    <t xml:space="preserve">300|pulled|0.55</t>
  </si>
  <si>
    <t xml:space="preserve">300|pulled|0.80</t>
  </si>
  <si>
    <t xml:space="preserve">300|pulled|1.00</t>
  </si>
  <si>
    <t xml:space="preserve">300|pulled|1.30</t>
  </si>
  <si>
    <t xml:space="preserve">300|pulled|1.85</t>
  </si>
  <si>
    <t xml:space="preserve">300|pulled|2.40</t>
  </si>
  <si>
    <t xml:space="preserve">240|not_pulled_EV|0.55</t>
  </si>
  <si>
    <t xml:space="preserve">4:00</t>
  </si>
  <si>
    <t xml:space="preserve">240|not_pulled_EV|0.80</t>
  </si>
  <si>
    <t xml:space="preserve">240|not_pulled_EV|1.00</t>
  </si>
  <si>
    <t xml:space="preserve">240|not_pulled_EV|1.30</t>
  </si>
  <si>
    <t xml:space="preserve">240|not_pulled_EV|1.85</t>
  </si>
  <si>
    <t xml:space="preserve">240|not_pulled_EV|2.40</t>
  </si>
  <si>
    <t xml:space="preserve">240|not_pulled_PP|0.55</t>
  </si>
  <si>
    <t xml:space="preserve">240|not_pulled_PP|0.80</t>
  </si>
  <si>
    <t xml:space="preserve">240|not_pulled_PP|1.00</t>
  </si>
  <si>
    <t xml:space="preserve">240|not_pulled_PP|1.30</t>
  </si>
  <si>
    <t xml:space="preserve">240|not_pulled_PP|1.85</t>
  </si>
  <si>
    <t xml:space="preserve">240|not_pulled_PP|2.40</t>
  </si>
  <si>
    <t xml:space="preserve">240|pulled|0.55</t>
  </si>
  <si>
    <t xml:space="preserve">240|pulled|0.80</t>
  </si>
  <si>
    <t xml:space="preserve">240|pulled|1.00</t>
  </si>
  <si>
    <t xml:space="preserve">240|pulled|1.30</t>
  </si>
  <si>
    <t xml:space="preserve">240|pulled|1.85</t>
  </si>
  <si>
    <t xml:space="preserve">240|pulled|2.40</t>
  </si>
  <si>
    <t xml:space="preserve">180|not_pulled_EV|0.55</t>
  </si>
  <si>
    <t xml:space="preserve">3:00</t>
  </si>
  <si>
    <t xml:space="preserve">180|not_pulled_EV|0.80</t>
  </si>
  <si>
    <t xml:space="preserve">180|not_pulled_EV|1.00</t>
  </si>
  <si>
    <t xml:space="preserve">180|not_pulled_EV|1.30</t>
  </si>
  <si>
    <t xml:space="preserve">180|not_pulled_EV|1.85</t>
  </si>
  <si>
    <t xml:space="preserve">180|not_pulled_EV|2.40</t>
  </si>
  <si>
    <t xml:space="preserve">180|not_pulled_PP|0.55</t>
  </si>
  <si>
    <t xml:space="preserve">180|not_pulled_PP|0.80</t>
  </si>
  <si>
    <t xml:space="preserve">180|not_pulled_PP|1.00</t>
  </si>
  <si>
    <t xml:space="preserve">180|not_pulled_PP|1.30</t>
  </si>
  <si>
    <t xml:space="preserve">180|not_pulled_PP|1.85</t>
  </si>
  <si>
    <t xml:space="preserve">180|not_pulled_PP|2.40</t>
  </si>
  <si>
    <t xml:space="preserve">180|pulled|0.55</t>
  </si>
  <si>
    <t xml:space="preserve">180|pulled|0.80</t>
  </si>
  <si>
    <t xml:space="preserve">180|pulled|1.00</t>
  </si>
  <si>
    <t xml:space="preserve">180|pulled|1.30</t>
  </si>
  <si>
    <t xml:space="preserve">180|pulled|1.85</t>
  </si>
  <si>
    <t xml:space="preserve">180|pulled|2.40</t>
  </si>
  <si>
    <t xml:space="preserve">coach</t>
  </si>
  <si>
    <t xml:space="preserve">pulls</t>
  </si>
  <si>
    <t xml:space="preserve">E(context-adj)</t>
  </si>
  <si>
    <t xml:space="preserve">clean EB</t>
  </si>
  <si>
    <t xml:space="preserve">PRODUCTION m (use this)</t>
  </si>
  <si>
    <t xml:space="preserve">Patrick Roy</t>
  </si>
  <si>
    <t xml:space="preserve">Dan Muse</t>
  </si>
  <si>
    <t xml:space="preserve">Travis Green</t>
  </si>
  <si>
    <t xml:space="preserve">Glen Gulutzan</t>
  </si>
  <si>
    <t xml:space="preserve">Lindy Ruff</t>
  </si>
  <si>
    <t xml:space="preserve">Dan Bylsma</t>
  </si>
  <si>
    <t xml:space="preserve">Adam Foote</t>
  </si>
  <si>
    <t xml:space="preserve">Craig Berube</t>
  </si>
  <si>
    <t xml:space="preserve">Jon Cooper</t>
  </si>
  <si>
    <t xml:space="preserve">Jeff Blashill</t>
  </si>
  <si>
    <t xml:space="preserve">Scott Arniel</t>
  </si>
  <si>
    <t xml:space="preserve">Kris Knoblauch</t>
  </si>
  <si>
    <t xml:space="preserve">Jim Montgomery</t>
  </si>
  <si>
    <t xml:space="preserve">Paul Maurice</t>
  </si>
  <si>
    <t xml:space="preserve">Derek Lalonde</t>
  </si>
  <si>
    <t xml:space="preserve">Mike Sullivan</t>
  </si>
  <si>
    <t xml:space="preserve">Lane Lambert</t>
  </si>
  <si>
    <t xml:space="preserve">John Hynes</t>
  </si>
  <si>
    <t xml:space="preserve">Rick Tocchet</t>
  </si>
  <si>
    <t xml:space="preserve">Bruce Cassidy</t>
  </si>
  <si>
    <t xml:space="preserve">Jim Hiller</t>
  </si>
  <si>
    <t xml:space="preserve">Dean Evason</t>
  </si>
  <si>
    <t xml:space="preserve">Martin St. Louis</t>
  </si>
  <si>
    <t xml:space="preserve">Sheldon Keefe</t>
  </si>
  <si>
    <t xml:space="preserve">Peter DeBoer</t>
  </si>
  <si>
    <t xml:space="preserve">Rod Brind'Amour</t>
  </si>
  <si>
    <t xml:space="preserve">Ryan Warsofsky</t>
  </si>
  <si>
    <t xml:space="preserve">Marco Sturm</t>
  </si>
  <si>
    <t xml:space="preserve">Greg Cronin</t>
  </si>
  <si>
    <t xml:space="preserve">Spencer Carbery</t>
  </si>
  <si>
    <t xml:space="preserve">Andrew Brunette</t>
  </si>
  <si>
    <t xml:space="preserve">AndrÃ© Tourigny</t>
  </si>
  <si>
    <t xml:space="preserve">Todd McLellan</t>
  </si>
  <si>
    <t xml:space="preserve">LOW-TAIL: ignore home/fav boosts; use his m directly; band 19-52% → bet the floor</t>
  </si>
  <si>
    <t xml:space="preserve">John Tortorella</t>
  </si>
  <si>
    <t xml:space="preserve">Anders Sorensen</t>
  </si>
  <si>
    <t xml:space="preserve">Ryan Huska</t>
  </si>
  <si>
    <t xml:space="preserve">Patrick Roy also pulls ~3 min EARLIER than the league (persistent both seasons): for Roy, mentally move the game clock 1 minute later when reading LOOKUP (approximation; exact Roy rows in repo table). New coach/team pair &lt;5 instances: use 1.00, widen bands.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</si>
</sst>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FF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EEE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2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4" customFormat="false" ht="15" hidden="false" customHeight="true" outlineLevel="0" collapsed="false">
      <c r="A4" s="3" t="s">
        <v>3</v>
      </c>
    </row>
    <row r="5" customFormat="false" ht="15" hidden="false" customHeight="true" outlineLevel="0" collapsed="false">
      <c r="A5" s="3" t="s">
        <v>4</v>
      </c>
    </row>
    <row r="6" customFormat="false" ht="15" hidden="false" customHeight="true" outlineLevel="0" collapsed="false">
      <c r="A6" s="3" t="s">
        <v>5</v>
      </c>
    </row>
    <row r="7" customFormat="false" ht="15" hidden="false" customHeight="true" outlineLevel="0" collapsed="false">
      <c r="A7" s="3" t="s">
        <v>6</v>
      </c>
    </row>
    <row r="8" customFormat="false" ht="15" hidden="false" customHeight="true" outlineLevel="0" collapsed="false">
      <c r="A8" s="2" t="s">
        <v>7</v>
      </c>
    </row>
    <row r="9" customFormat="false" ht="15" hidden="false" customHeight="true" outlineLevel="0" collapsed="false">
      <c r="A9" s="3" t="s">
        <v>8</v>
      </c>
    </row>
    <row r="10" customFormat="false" ht="15" hidden="false" customHeight="true" outlineLevel="0" collapsed="false">
      <c r="A10" s="2" t="s">
        <v>9</v>
      </c>
    </row>
    <row r="11" customFormat="false" ht="15" hidden="false" customHeight="true" outlineLevel="0" collapsed="false">
      <c r="A11" s="3" t="s">
        <v>10</v>
      </c>
    </row>
    <row r="12" customFormat="false" ht="15" hidden="false" customHeight="false" outlineLevel="0" collapsed="false">
      <c r="A12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6" min="4" style="1" width="16"/>
  </cols>
  <sheetData>
    <row r="1" customFormat="false" ht="15" hidden="false" customHeight="true" outlineLevel="0" collapsed="false">
      <c r="A1" s="5" t="s">
        <v>12</v>
      </c>
    </row>
    <row r="3" customFormat="false" ht="15" hidden="false" customHeight="true" outlineLevel="0" collapsed="false">
      <c r="A3" s="3" t="s">
        <v>13</v>
      </c>
      <c r="D3" s="6" t="s">
        <v>14</v>
      </c>
    </row>
    <row r="4" customFormat="false" ht="15" hidden="false" customHeight="true" outlineLevel="0" collapsed="false">
      <c r="A4" s="3" t="s">
        <v>15</v>
      </c>
      <c r="D4" s="6" t="s">
        <v>16</v>
      </c>
    </row>
    <row r="5" customFormat="false" ht="15" hidden="false" customHeight="true" outlineLevel="0" collapsed="false">
      <c r="A5" s="3" t="s">
        <v>17</v>
      </c>
      <c r="D5" s="6" t="n">
        <v>1</v>
      </c>
    </row>
    <row r="6" customFormat="false" ht="15" hidden="false" customHeight="true" outlineLevel="0" collapsed="false">
      <c r="A6" s="3" t="s">
        <v>18</v>
      </c>
      <c r="D6" s="6" t="s">
        <v>19</v>
      </c>
    </row>
    <row r="7" customFormat="false" ht="15" hidden="false" customHeight="true" outlineLevel="0" collapsed="false">
      <c r="A7" s="3" t="s">
        <v>20</v>
      </c>
      <c r="D7" s="6" t="s">
        <v>21</v>
      </c>
    </row>
    <row r="9" customFormat="false" ht="15" hidden="false" customHeight="true" outlineLevel="0" collapsed="false">
      <c r="A9" s="3" t="s">
        <v>22</v>
      </c>
      <c r="D9" s="3" t="n">
        <f aca="false">VALUE(LEFT(D3,FIND(":",D3)-1))*60+VALUE(MID(D3,FIND(":",D3)+1,2))</f>
        <v>600</v>
      </c>
      <c r="E9" s="3" t="n">
        <f aca="false">D5*IF(LOWER(D6)="y",1.34,1)*IF(LOWER(D7)="fav",1.07,IF(LOWER(D7)="dog",0.64,1))</f>
        <v>1</v>
      </c>
    </row>
    <row r="10" customFormat="false" ht="15" hidden="false" customHeight="true" outlineLevel="0" collapsed="false">
      <c r="A10" s="3" t="s">
        <v>23</v>
      </c>
      <c r="D10" s="3" t="n">
        <f aca="false">IF(E9&lt;=0.8,0.55,IF(E9&lt;=1,0.8,IF(E9&lt;=1.3,1,IF(E9&lt;=1.85,1.3,1.85))))</f>
        <v>0.8</v>
      </c>
      <c r="E10" s="3" t="n">
        <f aca="false">IF(E9&lt;=0.8,0.8,IF(E9&lt;=1,1,IF(E9&lt;=1.3,1.3,IF(E9&lt;=1.85,1.85,2.4))))</f>
        <v>1</v>
      </c>
      <c r="F10" s="3" t="n">
        <f aca="false">MAX(0,MIN(1,(E9-D10)/(E10-D10)))</f>
        <v>1</v>
      </c>
    </row>
    <row r="11" customFormat="false" ht="15" hidden="false" customHeight="true" outlineLevel="0" collapsed="false">
      <c r="A11" s="3" t="s">
        <v>24</v>
      </c>
      <c r="D11" s="3" t="str">
        <f aca="false">D9&amp;"|"&amp;D4&amp;"|"&amp;TEXT(D10,"0.00")</f>
        <v>600|not_pulled_EV|0.80</v>
      </c>
      <c r="E11" s="3" t="str">
        <f aca="false">D9&amp;"|"&amp;D4&amp;"|"&amp;TEXT(E10,"0.00")</f>
        <v>600|not_pulled_EV|1.00</v>
      </c>
    </row>
    <row r="13" customFormat="false" ht="15" hidden="false" customHeight="true" outlineLevel="0" collapsed="false">
      <c r="A13" s="7" t="s">
        <v>25</v>
      </c>
    </row>
    <row r="14" customFormat="false" ht="15" hidden="false" customHeight="true" outlineLevel="0" collapsed="false">
      <c r="A14" s="3" t="s">
        <v>26</v>
      </c>
      <c r="D14" s="8" t="n">
        <f aca="false">INDEX(PRICES!F:F,MATCH($D$11,PRICES!A:A,0))+$F$10*(INDEX(PRICES!F:F,MATCH($E$11,PRICES!A:A,0))-INDEX(PRICES!F:F,MATCH($D$11,PRICES!A:A,0)))</f>
        <v>0.7271</v>
      </c>
    </row>
    <row r="15" customFormat="false" ht="15" hidden="false" customHeight="true" outlineLevel="0" collapsed="false">
      <c r="A15" s="3" t="s">
        <v>27</v>
      </c>
      <c r="D15" s="8" t="n">
        <f aca="false">INDEX(PRICES!G:G,MATCH($D$11,PRICES!A:A,0))+$F$10*(INDEX(PRICES!G:G,MATCH($E$11,PRICES!A:A,0))-INDEX(PRICES!G:G,MATCH($D$11,PRICES!A:A,0)))</f>
        <v>0.3658</v>
      </c>
    </row>
    <row r="16" customFormat="false" ht="15" hidden="false" customHeight="true" outlineLevel="0" collapsed="false">
      <c r="A16" s="3" t="s">
        <v>28</v>
      </c>
      <c r="D16" s="8" t="n">
        <f aca="false">INDEX(PRICES!H:H,MATCH($D$11,PRICES!A:A,0))+$F$10*(INDEX(PRICES!H:H,MATCH($E$11,PRICES!A:A,0))-INDEX(PRICES!H:H,MATCH($D$11,PRICES!A:A,0)))</f>
        <v>0.6255</v>
      </c>
    </row>
    <row r="17" customFormat="false" ht="15" hidden="false" customHeight="true" outlineLevel="0" collapsed="false">
      <c r="A17" s="3" t="s">
        <v>29</v>
      </c>
      <c r="D17" s="8" t="n">
        <f aca="false">INDEX(PRICES!I:I,MATCH($D$11,PRICES!A:A,0))+$F$10*(INDEX(PRICES!I:I,MATCH($E$11,PRICES!A:A,0))-INDEX(PRICES!I:I,MATCH($D$11,PRICES!A:A,0)))</f>
        <v>0.4416</v>
      </c>
    </row>
    <row r="19" customFormat="false" ht="15" hidden="false" customHeight="true" outlineLevel="0" collapsed="false">
      <c r="A19" s="3" t="s">
        <v>30</v>
      </c>
      <c r="D19" s="9" t="str">
        <f aca="false">IF(AND(D4="pulled",D9&gt;420),"EXTRAPOLATED — no real pulls this early","ok")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4" min="4" style="1" width="15"/>
    <col collapsed="false" customWidth="true" hidden="false" outlineLevel="0" max="5" min="5" style="1" width="7"/>
    <col collapsed="false" customWidth="true" hidden="false" outlineLevel="0" max="7" min="6" style="1" width="11"/>
    <col collapsed="false" customWidth="true" hidden="false" outlineLevel="0" max="9" min="8" style="1" width="12"/>
  </cols>
  <sheetData>
    <row r="1" customFormat="false" ht="15" hidden="false" customHeight="true" outlineLevel="0" collapsed="false">
      <c r="A1" s="10" t="s">
        <v>31</v>
      </c>
      <c r="B1" s="10" t="s">
        <v>32</v>
      </c>
      <c r="C1" s="10" t="s">
        <v>33</v>
      </c>
      <c r="D1" s="10" t="s">
        <v>34</v>
      </c>
      <c r="E1" s="10" t="s">
        <v>35</v>
      </c>
      <c r="F1" s="10" t="s">
        <v>36</v>
      </c>
      <c r="G1" s="10" t="s">
        <v>37</v>
      </c>
      <c r="H1" s="10" t="s">
        <v>38</v>
      </c>
      <c r="I1" s="10" t="s">
        <v>39</v>
      </c>
    </row>
    <row r="2" customFormat="false" ht="15" hidden="false" customHeight="true" outlineLevel="0" collapsed="false">
      <c r="A2" s="3" t="s">
        <v>40</v>
      </c>
      <c r="B2" s="3" t="s">
        <v>41</v>
      </c>
      <c r="C2" s="3" t="n">
        <v>900</v>
      </c>
      <c r="D2" s="3" t="s">
        <v>16</v>
      </c>
      <c r="E2" s="3" t="n">
        <v>0.55</v>
      </c>
      <c r="F2" s="11" t="n">
        <v>0.7709</v>
      </c>
      <c r="G2" s="11" t="n">
        <v>0.469</v>
      </c>
      <c r="H2" s="11" t="n">
        <v>0.6474</v>
      </c>
      <c r="I2" s="11" t="n">
        <v>0.4137</v>
      </c>
    </row>
    <row r="3" customFormat="false" ht="15" hidden="false" customHeight="true" outlineLevel="0" collapsed="false">
      <c r="A3" s="3" t="s">
        <v>42</v>
      </c>
      <c r="B3" s="3" t="s">
        <v>41</v>
      </c>
      <c r="C3" s="3" t="n">
        <v>900</v>
      </c>
      <c r="D3" s="3" t="s">
        <v>16</v>
      </c>
      <c r="E3" s="3" t="n">
        <v>0.8</v>
      </c>
      <c r="F3" s="11" t="n">
        <v>0.7983</v>
      </c>
      <c r="G3" s="11" t="n">
        <v>0.4894</v>
      </c>
      <c r="H3" s="11" t="n">
        <v>0.6876</v>
      </c>
      <c r="I3" s="11" t="n">
        <v>0.449</v>
      </c>
    </row>
    <row r="4" customFormat="false" ht="15" hidden="false" customHeight="true" outlineLevel="0" collapsed="false">
      <c r="A4" s="3" t="s">
        <v>43</v>
      </c>
      <c r="B4" s="3" t="s">
        <v>41</v>
      </c>
      <c r="C4" s="3" t="n">
        <v>900</v>
      </c>
      <c r="D4" s="3" t="s">
        <v>16</v>
      </c>
      <c r="E4" s="3" t="n">
        <v>1</v>
      </c>
      <c r="F4" s="11" t="n">
        <v>0.8182</v>
      </c>
      <c r="G4" s="11" t="n">
        <v>0.5014</v>
      </c>
      <c r="H4" s="11" t="n">
        <v>0.7135</v>
      </c>
      <c r="I4" s="11" t="n">
        <v>0.4725</v>
      </c>
    </row>
    <row r="5" customFormat="false" ht="15" hidden="false" customHeight="true" outlineLevel="0" collapsed="false">
      <c r="A5" s="3" t="s">
        <v>44</v>
      </c>
      <c r="B5" s="3" t="s">
        <v>41</v>
      </c>
      <c r="C5" s="3" t="n">
        <v>900</v>
      </c>
      <c r="D5" s="3" t="s">
        <v>16</v>
      </c>
      <c r="E5" s="3" t="n">
        <v>1.3</v>
      </c>
      <c r="F5" s="11" t="n">
        <v>0.843</v>
      </c>
      <c r="G5" s="11" t="n">
        <v>0.5147</v>
      </c>
      <c r="H5" s="11" t="n">
        <v>0.7442</v>
      </c>
      <c r="I5" s="11" t="n">
        <v>0.5032</v>
      </c>
    </row>
    <row r="6" customFormat="false" ht="15" hidden="false" customHeight="true" outlineLevel="0" collapsed="false">
      <c r="A6" s="3" t="s">
        <v>45</v>
      </c>
      <c r="B6" s="3" t="s">
        <v>41</v>
      </c>
      <c r="C6" s="3" t="n">
        <v>900</v>
      </c>
      <c r="D6" s="3" t="s">
        <v>16</v>
      </c>
      <c r="E6" s="3" t="n">
        <v>1.85</v>
      </c>
      <c r="F6" s="11" t="n">
        <v>0.8776</v>
      </c>
      <c r="G6" s="11" t="n">
        <v>0.5356</v>
      </c>
      <c r="H6" s="11" t="n">
        <v>0.7865</v>
      </c>
      <c r="I6" s="11" t="n">
        <v>0.5473</v>
      </c>
    </row>
    <row r="7" customFormat="false" ht="15" hidden="false" customHeight="true" outlineLevel="0" collapsed="false">
      <c r="A7" s="3" t="s">
        <v>46</v>
      </c>
      <c r="B7" s="3" t="s">
        <v>41</v>
      </c>
      <c r="C7" s="3" t="n">
        <v>900</v>
      </c>
      <c r="D7" s="3" t="s">
        <v>16</v>
      </c>
      <c r="E7" s="3" t="n">
        <v>2.4</v>
      </c>
      <c r="F7" s="11" t="n">
        <v>0.9033</v>
      </c>
      <c r="G7" s="11" t="n">
        <v>0.5517</v>
      </c>
      <c r="H7" s="11" t="n">
        <v>0.817</v>
      </c>
      <c r="I7" s="11" t="n">
        <v>0.5782</v>
      </c>
    </row>
    <row r="8" customFormat="false" ht="15" hidden="false" customHeight="true" outlineLevel="0" collapsed="false">
      <c r="A8" s="3" t="s">
        <v>47</v>
      </c>
      <c r="B8" s="3" t="s">
        <v>41</v>
      </c>
      <c r="C8" s="3" t="n">
        <v>900</v>
      </c>
      <c r="D8" s="3" t="s">
        <v>48</v>
      </c>
      <c r="E8" s="3" t="n">
        <v>0.55</v>
      </c>
      <c r="F8" s="11" t="n">
        <v>0.7808</v>
      </c>
      <c r="G8" s="11" t="n">
        <v>0.4928</v>
      </c>
      <c r="H8" s="11" t="n">
        <v>0.645</v>
      </c>
      <c r="I8" s="11" t="n">
        <v>0.3908</v>
      </c>
    </row>
    <row r="9" customFormat="false" ht="15" hidden="false" customHeight="true" outlineLevel="0" collapsed="false">
      <c r="A9" s="3" t="s">
        <v>49</v>
      </c>
      <c r="B9" s="3" t="s">
        <v>41</v>
      </c>
      <c r="C9" s="3" t="n">
        <v>900</v>
      </c>
      <c r="D9" s="3" t="s">
        <v>48</v>
      </c>
      <c r="E9" s="3" t="n">
        <v>0.8</v>
      </c>
      <c r="F9" s="11" t="n">
        <v>0.8071</v>
      </c>
      <c r="G9" s="11" t="n">
        <v>0.5138</v>
      </c>
      <c r="H9" s="11" t="n">
        <v>0.6858</v>
      </c>
      <c r="I9" s="11" t="n">
        <v>0.4265</v>
      </c>
    </row>
    <row r="10" customFormat="false" ht="15" hidden="false" customHeight="true" outlineLevel="0" collapsed="false">
      <c r="A10" s="3" t="s">
        <v>50</v>
      </c>
      <c r="B10" s="3" t="s">
        <v>41</v>
      </c>
      <c r="C10" s="3" t="n">
        <v>900</v>
      </c>
      <c r="D10" s="3" t="s">
        <v>48</v>
      </c>
      <c r="E10" s="3" t="n">
        <v>1</v>
      </c>
      <c r="F10" s="11" t="n">
        <v>0.826</v>
      </c>
      <c r="G10" s="11" t="n">
        <v>0.5259</v>
      </c>
      <c r="H10" s="11" t="n">
        <v>0.7117</v>
      </c>
      <c r="I10" s="11" t="n">
        <v>0.4502</v>
      </c>
    </row>
    <row r="11" customFormat="false" ht="15" hidden="false" customHeight="true" outlineLevel="0" collapsed="false">
      <c r="A11" s="3" t="s">
        <v>51</v>
      </c>
      <c r="B11" s="3" t="s">
        <v>41</v>
      </c>
      <c r="C11" s="3" t="n">
        <v>900</v>
      </c>
      <c r="D11" s="3" t="s">
        <v>48</v>
      </c>
      <c r="E11" s="3" t="n">
        <v>1.3</v>
      </c>
      <c r="F11" s="11" t="n">
        <v>0.85</v>
      </c>
      <c r="G11" s="11" t="n">
        <v>0.5393</v>
      </c>
      <c r="H11" s="11" t="n">
        <v>0.742</v>
      </c>
      <c r="I11" s="11" t="n">
        <v>0.4808</v>
      </c>
    </row>
    <row r="12" customFormat="false" ht="15" hidden="false" customHeight="true" outlineLevel="0" collapsed="false">
      <c r="A12" s="3" t="s">
        <v>52</v>
      </c>
      <c r="B12" s="3" t="s">
        <v>41</v>
      </c>
      <c r="C12" s="3" t="n">
        <v>900</v>
      </c>
      <c r="D12" s="3" t="s">
        <v>48</v>
      </c>
      <c r="E12" s="3" t="n">
        <v>1.85</v>
      </c>
      <c r="F12" s="11" t="n">
        <v>0.8834</v>
      </c>
      <c r="G12" s="11" t="n">
        <v>0.5597</v>
      </c>
      <c r="H12" s="11" t="n">
        <v>0.784</v>
      </c>
      <c r="I12" s="11" t="n">
        <v>0.5249</v>
      </c>
    </row>
    <row r="13" customFormat="false" ht="15" hidden="false" customHeight="true" outlineLevel="0" collapsed="false">
      <c r="A13" s="3" t="s">
        <v>53</v>
      </c>
      <c r="B13" s="3" t="s">
        <v>41</v>
      </c>
      <c r="C13" s="3" t="n">
        <v>900</v>
      </c>
      <c r="D13" s="3" t="s">
        <v>48</v>
      </c>
      <c r="E13" s="3" t="n">
        <v>2.4</v>
      </c>
      <c r="F13" s="11" t="n">
        <v>0.9082</v>
      </c>
      <c r="G13" s="11" t="n">
        <v>0.5754</v>
      </c>
      <c r="H13" s="11" t="n">
        <v>0.814</v>
      </c>
      <c r="I13" s="11" t="n">
        <v>0.5555</v>
      </c>
    </row>
    <row r="14" customFormat="false" ht="15" hidden="false" customHeight="true" outlineLevel="0" collapsed="false">
      <c r="A14" s="3" t="s">
        <v>54</v>
      </c>
      <c r="B14" s="3" t="s">
        <v>41</v>
      </c>
      <c r="C14" s="3" t="n">
        <v>900</v>
      </c>
      <c r="D14" s="3" t="s">
        <v>55</v>
      </c>
      <c r="E14" s="3" t="n">
        <v>0.55</v>
      </c>
      <c r="F14" s="11" t="n">
        <v>0.9989</v>
      </c>
      <c r="G14" s="11" t="n">
        <v>0.7422</v>
      </c>
      <c r="H14" s="11" t="n">
        <v>0.9854</v>
      </c>
      <c r="I14" s="11" t="n">
        <v>0.8318</v>
      </c>
    </row>
    <row r="15" customFormat="false" ht="15" hidden="false" customHeight="true" outlineLevel="0" collapsed="false">
      <c r="A15" s="3" t="s">
        <v>56</v>
      </c>
      <c r="B15" s="3" t="s">
        <v>41</v>
      </c>
      <c r="C15" s="3" t="n">
        <v>900</v>
      </c>
      <c r="D15" s="3" t="s">
        <v>55</v>
      </c>
      <c r="E15" s="3" t="n">
        <v>0.8</v>
      </c>
      <c r="F15" s="11" t="n">
        <v>0.9989</v>
      </c>
      <c r="G15" s="11" t="n">
        <v>0.743</v>
      </c>
      <c r="H15" s="11" t="n">
        <v>0.9854</v>
      </c>
      <c r="I15" s="11" t="n">
        <v>0.8318</v>
      </c>
    </row>
    <row r="16" customFormat="false" ht="15" hidden="false" customHeight="true" outlineLevel="0" collapsed="false">
      <c r="A16" s="3" t="s">
        <v>57</v>
      </c>
      <c r="B16" s="3" t="s">
        <v>41</v>
      </c>
      <c r="C16" s="3" t="n">
        <v>900</v>
      </c>
      <c r="D16" s="3" t="s">
        <v>55</v>
      </c>
      <c r="E16" s="3" t="n">
        <v>1</v>
      </c>
      <c r="F16" s="11" t="n">
        <v>0.9989</v>
      </c>
      <c r="G16" s="11" t="n">
        <v>0.744</v>
      </c>
      <c r="H16" s="11" t="n">
        <v>0.9854</v>
      </c>
      <c r="I16" s="11" t="n">
        <v>0.8318</v>
      </c>
    </row>
    <row r="17" customFormat="false" ht="15" hidden="false" customHeight="true" outlineLevel="0" collapsed="false">
      <c r="A17" s="3" t="s">
        <v>58</v>
      </c>
      <c r="B17" s="3" t="s">
        <v>41</v>
      </c>
      <c r="C17" s="3" t="n">
        <v>900</v>
      </c>
      <c r="D17" s="3" t="s">
        <v>55</v>
      </c>
      <c r="E17" s="3" t="n">
        <v>1.3</v>
      </c>
      <c r="F17" s="11" t="n">
        <v>0.9989</v>
      </c>
      <c r="G17" s="11" t="n">
        <v>0.7451</v>
      </c>
      <c r="H17" s="11" t="n">
        <v>0.9854</v>
      </c>
      <c r="I17" s="11" t="n">
        <v>0.832</v>
      </c>
    </row>
    <row r="18" customFormat="false" ht="15" hidden="false" customHeight="true" outlineLevel="0" collapsed="false">
      <c r="A18" s="3" t="s">
        <v>59</v>
      </c>
      <c r="B18" s="3" t="s">
        <v>41</v>
      </c>
      <c r="C18" s="3" t="n">
        <v>900</v>
      </c>
      <c r="D18" s="3" t="s">
        <v>55</v>
      </c>
      <c r="E18" s="3" t="n">
        <v>1.85</v>
      </c>
      <c r="F18" s="11" t="n">
        <v>0.9989</v>
      </c>
      <c r="G18" s="11" t="n">
        <v>0.7475</v>
      </c>
      <c r="H18" s="11" t="n">
        <v>0.9854</v>
      </c>
      <c r="I18" s="11" t="n">
        <v>0.8322</v>
      </c>
    </row>
    <row r="19" customFormat="false" ht="15" hidden="false" customHeight="true" outlineLevel="0" collapsed="false">
      <c r="A19" s="3" t="s">
        <v>60</v>
      </c>
      <c r="B19" s="3" t="s">
        <v>41</v>
      </c>
      <c r="C19" s="3" t="n">
        <v>900</v>
      </c>
      <c r="D19" s="3" t="s">
        <v>55</v>
      </c>
      <c r="E19" s="3" t="n">
        <v>2.4</v>
      </c>
      <c r="F19" s="11" t="n">
        <v>0.9989</v>
      </c>
      <c r="G19" s="11" t="n">
        <v>0.7499</v>
      </c>
      <c r="H19" s="11" t="n">
        <v>0.9855</v>
      </c>
      <c r="I19" s="11" t="n">
        <v>0.8328</v>
      </c>
    </row>
    <row r="20" customFormat="false" ht="15" hidden="false" customHeight="true" outlineLevel="0" collapsed="false">
      <c r="A20" s="3" t="s">
        <v>61</v>
      </c>
      <c r="B20" s="3" t="s">
        <v>62</v>
      </c>
      <c r="C20" s="3" t="n">
        <v>780</v>
      </c>
      <c r="D20" s="3" t="s">
        <v>16</v>
      </c>
      <c r="E20" s="3" t="n">
        <v>0.55</v>
      </c>
      <c r="F20" s="11" t="n">
        <v>0.7326</v>
      </c>
      <c r="G20" s="11" t="n">
        <v>0.4135</v>
      </c>
      <c r="H20" s="11" t="n">
        <v>0.6082</v>
      </c>
      <c r="I20" s="11" t="n">
        <v>0.4014</v>
      </c>
    </row>
    <row r="21" customFormat="false" ht="15" hidden="false" customHeight="true" outlineLevel="0" collapsed="false">
      <c r="A21" s="3" t="s">
        <v>63</v>
      </c>
      <c r="B21" s="3" t="s">
        <v>62</v>
      </c>
      <c r="C21" s="3" t="n">
        <v>780</v>
      </c>
      <c r="D21" s="3" t="s">
        <v>16</v>
      </c>
      <c r="E21" s="3" t="n">
        <v>0.8</v>
      </c>
      <c r="F21" s="11" t="n">
        <v>0.7648</v>
      </c>
      <c r="G21" s="11" t="n">
        <v>0.4364</v>
      </c>
      <c r="H21" s="11" t="n">
        <v>0.6533</v>
      </c>
      <c r="I21" s="11" t="n">
        <v>0.4391</v>
      </c>
    </row>
    <row r="22" customFormat="false" ht="15" hidden="false" customHeight="true" outlineLevel="0" collapsed="false">
      <c r="A22" s="3" t="s">
        <v>64</v>
      </c>
      <c r="B22" s="3" t="s">
        <v>62</v>
      </c>
      <c r="C22" s="3" t="n">
        <v>780</v>
      </c>
      <c r="D22" s="3" t="s">
        <v>16</v>
      </c>
      <c r="E22" s="3" t="n">
        <v>1</v>
      </c>
      <c r="F22" s="11" t="n">
        <v>0.7871</v>
      </c>
      <c r="G22" s="11" t="n">
        <v>0.4511</v>
      </c>
      <c r="H22" s="11" t="n">
        <v>0.6812</v>
      </c>
      <c r="I22" s="11" t="n">
        <v>0.4637</v>
      </c>
    </row>
    <row r="23" customFormat="false" ht="15" hidden="false" customHeight="true" outlineLevel="0" collapsed="false">
      <c r="A23" s="3" t="s">
        <v>65</v>
      </c>
      <c r="B23" s="3" t="s">
        <v>62</v>
      </c>
      <c r="C23" s="3" t="n">
        <v>780</v>
      </c>
      <c r="D23" s="3" t="s">
        <v>16</v>
      </c>
      <c r="E23" s="3" t="n">
        <v>1.3</v>
      </c>
      <c r="F23" s="11" t="n">
        <v>0.8152</v>
      </c>
      <c r="G23" s="11" t="n">
        <v>0.4673</v>
      </c>
      <c r="H23" s="11" t="n">
        <v>0.7145</v>
      </c>
      <c r="I23" s="11" t="n">
        <v>0.4949</v>
      </c>
    </row>
    <row r="24" customFormat="false" ht="15" hidden="false" customHeight="true" outlineLevel="0" collapsed="false">
      <c r="A24" s="3" t="s">
        <v>66</v>
      </c>
      <c r="B24" s="3" t="s">
        <v>62</v>
      </c>
      <c r="C24" s="3" t="n">
        <v>780</v>
      </c>
      <c r="D24" s="3" t="s">
        <v>16</v>
      </c>
      <c r="E24" s="3" t="n">
        <v>1.85</v>
      </c>
      <c r="F24" s="11" t="n">
        <v>0.8559</v>
      </c>
      <c r="G24" s="11" t="n">
        <v>0.4889</v>
      </c>
      <c r="H24" s="11" t="n">
        <v>0.762</v>
      </c>
      <c r="I24" s="11" t="n">
        <v>0.541</v>
      </c>
    </row>
    <row r="25" customFormat="false" ht="15" hidden="false" customHeight="true" outlineLevel="0" collapsed="false">
      <c r="A25" s="3" t="s">
        <v>67</v>
      </c>
      <c r="B25" s="3" t="s">
        <v>62</v>
      </c>
      <c r="C25" s="3" t="n">
        <v>780</v>
      </c>
      <c r="D25" s="3" t="s">
        <v>16</v>
      </c>
      <c r="E25" s="3" t="n">
        <v>2.4</v>
      </c>
      <c r="F25" s="11" t="n">
        <v>0.8839</v>
      </c>
      <c r="G25" s="11" t="n">
        <v>0.507</v>
      </c>
      <c r="H25" s="11" t="n">
        <v>0.7952</v>
      </c>
      <c r="I25" s="11" t="n">
        <v>0.5732</v>
      </c>
    </row>
    <row r="26" customFormat="false" ht="15" hidden="false" customHeight="true" outlineLevel="0" collapsed="false">
      <c r="A26" s="3" t="s">
        <v>68</v>
      </c>
      <c r="B26" s="3" t="s">
        <v>62</v>
      </c>
      <c r="C26" s="3" t="n">
        <v>780</v>
      </c>
      <c r="D26" s="3" t="s">
        <v>48</v>
      </c>
      <c r="E26" s="3" t="n">
        <v>0.55</v>
      </c>
      <c r="F26" s="11" t="n">
        <v>0.7469</v>
      </c>
      <c r="G26" s="11" t="n">
        <v>0.4408</v>
      </c>
      <c r="H26" s="11" t="n">
        <v>0.6105</v>
      </c>
      <c r="I26" s="11" t="n">
        <v>0.3837</v>
      </c>
    </row>
    <row r="27" customFormat="false" ht="15" hidden="false" customHeight="true" outlineLevel="0" collapsed="false">
      <c r="A27" s="3" t="s">
        <v>69</v>
      </c>
      <c r="B27" s="3" t="s">
        <v>62</v>
      </c>
      <c r="C27" s="3" t="n">
        <v>780</v>
      </c>
      <c r="D27" s="3" t="s">
        <v>48</v>
      </c>
      <c r="E27" s="3" t="n">
        <v>0.8</v>
      </c>
      <c r="F27" s="11" t="n">
        <v>0.7786</v>
      </c>
      <c r="G27" s="11" t="n">
        <v>0.4657</v>
      </c>
      <c r="H27" s="11" t="n">
        <v>0.6575</v>
      </c>
      <c r="I27" s="11" t="n">
        <v>0.423</v>
      </c>
    </row>
    <row r="28" customFormat="false" ht="15" hidden="false" customHeight="true" outlineLevel="0" collapsed="false">
      <c r="A28" s="3" t="s">
        <v>70</v>
      </c>
      <c r="B28" s="3" t="s">
        <v>62</v>
      </c>
      <c r="C28" s="3" t="n">
        <v>780</v>
      </c>
      <c r="D28" s="3" t="s">
        <v>48</v>
      </c>
      <c r="E28" s="3" t="n">
        <v>1</v>
      </c>
      <c r="F28" s="11" t="n">
        <v>0.8004</v>
      </c>
      <c r="G28" s="11" t="n">
        <v>0.4813</v>
      </c>
      <c r="H28" s="11" t="n">
        <v>0.6856</v>
      </c>
      <c r="I28" s="11" t="n">
        <v>0.448</v>
      </c>
    </row>
    <row r="29" customFormat="false" ht="15" hidden="false" customHeight="true" outlineLevel="0" collapsed="false">
      <c r="A29" s="3" t="s">
        <v>71</v>
      </c>
      <c r="B29" s="3" t="s">
        <v>62</v>
      </c>
      <c r="C29" s="3" t="n">
        <v>780</v>
      </c>
      <c r="D29" s="3" t="s">
        <v>48</v>
      </c>
      <c r="E29" s="3" t="n">
        <v>1.3</v>
      </c>
      <c r="F29" s="11" t="n">
        <v>0.8281</v>
      </c>
      <c r="G29" s="11" t="n">
        <v>0.4991</v>
      </c>
      <c r="H29" s="11" t="n">
        <v>0.7198</v>
      </c>
      <c r="I29" s="11" t="n">
        <v>0.4804</v>
      </c>
    </row>
    <row r="30" customFormat="false" ht="15" hidden="false" customHeight="true" outlineLevel="0" collapsed="false">
      <c r="A30" s="3" t="s">
        <v>72</v>
      </c>
      <c r="B30" s="3" t="s">
        <v>62</v>
      </c>
      <c r="C30" s="3" t="n">
        <v>780</v>
      </c>
      <c r="D30" s="3" t="s">
        <v>48</v>
      </c>
      <c r="E30" s="3" t="n">
        <v>1.85</v>
      </c>
      <c r="F30" s="11" t="n">
        <v>0.8675</v>
      </c>
      <c r="G30" s="11" t="n">
        <v>0.5223</v>
      </c>
      <c r="H30" s="11" t="n">
        <v>0.7672</v>
      </c>
      <c r="I30" s="11" t="n">
        <v>0.5284</v>
      </c>
    </row>
    <row r="31" customFormat="false" ht="15" hidden="false" customHeight="true" outlineLevel="0" collapsed="false">
      <c r="A31" s="3" t="s">
        <v>73</v>
      </c>
      <c r="B31" s="3" t="s">
        <v>62</v>
      </c>
      <c r="C31" s="3" t="n">
        <v>780</v>
      </c>
      <c r="D31" s="3" t="s">
        <v>48</v>
      </c>
      <c r="E31" s="3" t="n">
        <v>2.4</v>
      </c>
      <c r="F31" s="11" t="n">
        <v>0.8941</v>
      </c>
      <c r="G31" s="11" t="n">
        <v>0.5416</v>
      </c>
      <c r="H31" s="11" t="n">
        <v>0.8004</v>
      </c>
      <c r="I31" s="11" t="n">
        <v>0.5615</v>
      </c>
    </row>
    <row r="32" customFormat="false" ht="15" hidden="false" customHeight="true" outlineLevel="0" collapsed="false">
      <c r="A32" s="3" t="s">
        <v>74</v>
      </c>
      <c r="B32" s="3" t="s">
        <v>62</v>
      </c>
      <c r="C32" s="3" t="n">
        <v>780</v>
      </c>
      <c r="D32" s="3" t="s">
        <v>55</v>
      </c>
      <c r="E32" s="3" t="n">
        <v>0.55</v>
      </c>
      <c r="F32" s="11" t="n">
        <v>0.997</v>
      </c>
      <c r="G32" s="11" t="n">
        <v>0.6939</v>
      </c>
      <c r="H32" s="11" t="n">
        <v>0.9802</v>
      </c>
      <c r="I32" s="11" t="n">
        <v>0.8164</v>
      </c>
    </row>
    <row r="33" customFormat="false" ht="15" hidden="false" customHeight="true" outlineLevel="0" collapsed="false">
      <c r="A33" s="3" t="s">
        <v>75</v>
      </c>
      <c r="B33" s="3" t="s">
        <v>62</v>
      </c>
      <c r="C33" s="3" t="n">
        <v>780</v>
      </c>
      <c r="D33" s="3" t="s">
        <v>55</v>
      </c>
      <c r="E33" s="3" t="n">
        <v>0.8</v>
      </c>
      <c r="F33" s="11" t="n">
        <v>0.997</v>
      </c>
      <c r="G33" s="11" t="n">
        <v>0.6947</v>
      </c>
      <c r="H33" s="11" t="n">
        <v>0.9802</v>
      </c>
      <c r="I33" s="11" t="n">
        <v>0.8165</v>
      </c>
    </row>
    <row r="34" customFormat="false" ht="15" hidden="false" customHeight="true" outlineLevel="0" collapsed="false">
      <c r="A34" s="3" t="s">
        <v>76</v>
      </c>
      <c r="B34" s="3" t="s">
        <v>62</v>
      </c>
      <c r="C34" s="3" t="n">
        <v>780</v>
      </c>
      <c r="D34" s="3" t="s">
        <v>55</v>
      </c>
      <c r="E34" s="3" t="n">
        <v>1</v>
      </c>
      <c r="F34" s="11" t="n">
        <v>0.997</v>
      </c>
      <c r="G34" s="11" t="n">
        <v>0.6956</v>
      </c>
      <c r="H34" s="11" t="n">
        <v>0.9802</v>
      </c>
      <c r="I34" s="11" t="n">
        <v>0.8164</v>
      </c>
    </row>
    <row r="35" customFormat="false" ht="15" hidden="false" customHeight="true" outlineLevel="0" collapsed="false">
      <c r="A35" s="3" t="s">
        <v>77</v>
      </c>
      <c r="B35" s="3" t="s">
        <v>62</v>
      </c>
      <c r="C35" s="3" t="n">
        <v>780</v>
      </c>
      <c r="D35" s="3" t="s">
        <v>55</v>
      </c>
      <c r="E35" s="3" t="n">
        <v>1.3</v>
      </c>
      <c r="F35" s="11" t="n">
        <v>0.997</v>
      </c>
      <c r="G35" s="11" t="n">
        <v>0.6965</v>
      </c>
      <c r="H35" s="11" t="n">
        <v>0.9802</v>
      </c>
      <c r="I35" s="11" t="n">
        <v>0.8163</v>
      </c>
    </row>
    <row r="36" customFormat="false" ht="15" hidden="false" customHeight="true" outlineLevel="0" collapsed="false">
      <c r="A36" s="3" t="s">
        <v>78</v>
      </c>
      <c r="B36" s="3" t="s">
        <v>62</v>
      </c>
      <c r="C36" s="3" t="n">
        <v>780</v>
      </c>
      <c r="D36" s="3" t="s">
        <v>55</v>
      </c>
      <c r="E36" s="3" t="n">
        <v>1.85</v>
      </c>
      <c r="F36" s="11" t="n">
        <v>0.997</v>
      </c>
      <c r="G36" s="11" t="n">
        <v>0.6986</v>
      </c>
      <c r="H36" s="11" t="n">
        <v>0.9803</v>
      </c>
      <c r="I36" s="11" t="n">
        <v>0.8166</v>
      </c>
    </row>
    <row r="37" customFormat="false" ht="15" hidden="false" customHeight="true" outlineLevel="0" collapsed="false">
      <c r="A37" s="3" t="s">
        <v>79</v>
      </c>
      <c r="B37" s="3" t="s">
        <v>62</v>
      </c>
      <c r="C37" s="3" t="n">
        <v>780</v>
      </c>
      <c r="D37" s="3" t="s">
        <v>55</v>
      </c>
      <c r="E37" s="3" t="n">
        <v>2.4</v>
      </c>
      <c r="F37" s="11" t="n">
        <v>0.997</v>
      </c>
      <c r="G37" s="11" t="n">
        <v>0.7008</v>
      </c>
      <c r="H37" s="11" t="n">
        <v>0.9803</v>
      </c>
      <c r="I37" s="11" t="n">
        <v>0.8169</v>
      </c>
    </row>
    <row r="38" customFormat="false" ht="15" hidden="false" customHeight="true" outlineLevel="0" collapsed="false">
      <c r="A38" s="3" t="s">
        <v>80</v>
      </c>
      <c r="B38" s="3" t="s">
        <v>81</v>
      </c>
      <c r="C38" s="3" t="n">
        <v>660</v>
      </c>
      <c r="D38" s="3" t="s">
        <v>16</v>
      </c>
      <c r="E38" s="3" t="n">
        <v>0.55</v>
      </c>
      <c r="F38" s="11" t="n">
        <v>0.6882</v>
      </c>
      <c r="G38" s="11" t="n">
        <v>0.3543</v>
      </c>
      <c r="H38" s="11" t="n">
        <v>0.5681</v>
      </c>
      <c r="I38" s="11" t="n">
        <v>0.3848</v>
      </c>
    </row>
    <row r="39" customFormat="false" ht="15" hidden="false" customHeight="true" outlineLevel="0" collapsed="false">
      <c r="A39" s="3" t="s">
        <v>82</v>
      </c>
      <c r="B39" s="3" t="s">
        <v>81</v>
      </c>
      <c r="C39" s="3" t="n">
        <v>660</v>
      </c>
      <c r="D39" s="3" t="s">
        <v>16</v>
      </c>
      <c r="E39" s="3" t="n">
        <v>0.8</v>
      </c>
      <c r="F39" s="11" t="n">
        <v>0.7235</v>
      </c>
      <c r="G39" s="11" t="n">
        <v>0.379</v>
      </c>
      <c r="H39" s="11" t="n">
        <v>0.6147</v>
      </c>
      <c r="I39" s="11" t="n">
        <v>0.4224</v>
      </c>
    </row>
    <row r="40" customFormat="false" ht="15" hidden="false" customHeight="true" outlineLevel="0" collapsed="false">
      <c r="A40" s="3" t="s">
        <v>83</v>
      </c>
      <c r="B40" s="3" t="s">
        <v>81</v>
      </c>
      <c r="C40" s="3" t="n">
        <v>660</v>
      </c>
      <c r="D40" s="3" t="s">
        <v>16</v>
      </c>
      <c r="E40" s="3" t="n">
        <v>1</v>
      </c>
      <c r="F40" s="11" t="n">
        <v>0.7505</v>
      </c>
      <c r="G40" s="11" t="n">
        <v>0.3933</v>
      </c>
      <c r="H40" s="11" t="n">
        <v>0.6468</v>
      </c>
      <c r="I40" s="11" t="n">
        <v>0.4505</v>
      </c>
    </row>
    <row r="41" customFormat="false" ht="15" hidden="false" customHeight="true" outlineLevel="0" collapsed="false">
      <c r="A41" s="3" t="s">
        <v>84</v>
      </c>
      <c r="B41" s="3" t="s">
        <v>81</v>
      </c>
      <c r="C41" s="3" t="n">
        <v>660</v>
      </c>
      <c r="D41" s="3" t="s">
        <v>16</v>
      </c>
      <c r="E41" s="3" t="n">
        <v>1.3</v>
      </c>
      <c r="F41" s="11" t="n">
        <v>0.7831</v>
      </c>
      <c r="G41" s="11" t="n">
        <v>0.4109</v>
      </c>
      <c r="H41" s="11" t="n">
        <v>0.6857</v>
      </c>
      <c r="I41" s="11" t="n">
        <v>0.4848</v>
      </c>
    </row>
    <row r="42" customFormat="false" ht="15" hidden="false" customHeight="true" outlineLevel="0" collapsed="false">
      <c r="A42" s="3" t="s">
        <v>85</v>
      </c>
      <c r="B42" s="3" t="s">
        <v>81</v>
      </c>
      <c r="C42" s="3" t="n">
        <v>660</v>
      </c>
      <c r="D42" s="3" t="s">
        <v>16</v>
      </c>
      <c r="E42" s="3" t="n">
        <v>1.85</v>
      </c>
      <c r="F42" s="11" t="n">
        <v>0.8306</v>
      </c>
      <c r="G42" s="11" t="n">
        <v>0.4358</v>
      </c>
      <c r="H42" s="11" t="n">
        <v>0.7406</v>
      </c>
      <c r="I42" s="11" t="n">
        <v>0.5336</v>
      </c>
    </row>
    <row r="43" customFormat="false" ht="15" hidden="false" customHeight="true" outlineLevel="0" collapsed="false">
      <c r="A43" s="3" t="s">
        <v>86</v>
      </c>
      <c r="B43" s="3" t="s">
        <v>81</v>
      </c>
      <c r="C43" s="3" t="n">
        <v>660</v>
      </c>
      <c r="D43" s="3" t="s">
        <v>16</v>
      </c>
      <c r="E43" s="3" t="n">
        <v>2.4</v>
      </c>
      <c r="F43" s="11" t="n">
        <v>0.8633</v>
      </c>
      <c r="G43" s="11" t="n">
        <v>0.4546</v>
      </c>
      <c r="H43" s="11" t="n">
        <v>0.7784</v>
      </c>
      <c r="I43" s="11" t="n">
        <v>0.5693</v>
      </c>
    </row>
    <row r="44" customFormat="false" ht="15" hidden="false" customHeight="true" outlineLevel="0" collapsed="false">
      <c r="A44" s="3" t="s">
        <v>87</v>
      </c>
      <c r="B44" s="3" t="s">
        <v>81</v>
      </c>
      <c r="C44" s="3" t="n">
        <v>660</v>
      </c>
      <c r="D44" s="3" t="s">
        <v>48</v>
      </c>
      <c r="E44" s="3" t="n">
        <v>0.55</v>
      </c>
      <c r="F44" s="11" t="n">
        <v>0.7011</v>
      </c>
      <c r="G44" s="11" t="n">
        <v>0.382</v>
      </c>
      <c r="H44" s="11" t="n">
        <v>0.5661</v>
      </c>
      <c r="I44" s="11" t="n">
        <v>0.3609</v>
      </c>
    </row>
    <row r="45" customFormat="false" ht="15" hidden="false" customHeight="true" outlineLevel="0" collapsed="false">
      <c r="A45" s="3" t="s">
        <v>88</v>
      </c>
      <c r="B45" s="3" t="s">
        <v>81</v>
      </c>
      <c r="C45" s="3" t="n">
        <v>660</v>
      </c>
      <c r="D45" s="3" t="s">
        <v>48</v>
      </c>
      <c r="E45" s="3" t="n">
        <v>0.8</v>
      </c>
      <c r="F45" s="11" t="n">
        <v>0.7352</v>
      </c>
      <c r="G45" s="11" t="n">
        <v>0.4079</v>
      </c>
      <c r="H45" s="11" t="n">
        <v>0.6141</v>
      </c>
      <c r="I45" s="11" t="n">
        <v>0.3995</v>
      </c>
    </row>
    <row r="46" customFormat="false" ht="15" hidden="false" customHeight="true" outlineLevel="0" collapsed="false">
      <c r="A46" s="3" t="s">
        <v>89</v>
      </c>
      <c r="B46" s="3" t="s">
        <v>81</v>
      </c>
      <c r="C46" s="3" t="n">
        <v>660</v>
      </c>
      <c r="D46" s="3" t="s">
        <v>48</v>
      </c>
      <c r="E46" s="3" t="n">
        <v>1</v>
      </c>
      <c r="F46" s="11" t="n">
        <v>0.7617</v>
      </c>
      <c r="G46" s="11" t="n">
        <v>0.4225</v>
      </c>
      <c r="H46" s="11" t="n">
        <v>0.6463</v>
      </c>
      <c r="I46" s="11" t="n">
        <v>0.4281</v>
      </c>
    </row>
    <row r="47" customFormat="false" ht="15" hidden="false" customHeight="true" outlineLevel="0" collapsed="false">
      <c r="A47" s="3" t="s">
        <v>90</v>
      </c>
      <c r="B47" s="3" t="s">
        <v>81</v>
      </c>
      <c r="C47" s="3" t="n">
        <v>660</v>
      </c>
      <c r="D47" s="3" t="s">
        <v>48</v>
      </c>
      <c r="E47" s="3" t="n">
        <v>1.3</v>
      </c>
      <c r="F47" s="11" t="n">
        <v>0.7932</v>
      </c>
      <c r="G47" s="11" t="n">
        <v>0.44</v>
      </c>
      <c r="H47" s="11" t="n">
        <v>0.6845</v>
      </c>
      <c r="I47" s="11" t="n">
        <v>0.4626</v>
      </c>
    </row>
    <row r="48" customFormat="false" ht="15" hidden="false" customHeight="true" outlineLevel="0" collapsed="false">
      <c r="A48" s="3" t="s">
        <v>91</v>
      </c>
      <c r="B48" s="3" t="s">
        <v>81</v>
      </c>
      <c r="C48" s="3" t="n">
        <v>660</v>
      </c>
      <c r="D48" s="3" t="s">
        <v>48</v>
      </c>
      <c r="E48" s="3" t="n">
        <v>1.85</v>
      </c>
      <c r="F48" s="11" t="n">
        <v>0.8391</v>
      </c>
      <c r="G48" s="11" t="n">
        <v>0.4647</v>
      </c>
      <c r="H48" s="11" t="n">
        <v>0.7394</v>
      </c>
      <c r="I48" s="11" t="n">
        <v>0.5112</v>
      </c>
    </row>
    <row r="49" customFormat="false" ht="15" hidden="false" customHeight="true" outlineLevel="0" collapsed="false">
      <c r="A49" s="3" t="s">
        <v>92</v>
      </c>
      <c r="B49" s="3" t="s">
        <v>81</v>
      </c>
      <c r="C49" s="3" t="n">
        <v>660</v>
      </c>
      <c r="D49" s="3" t="s">
        <v>48</v>
      </c>
      <c r="E49" s="3" t="n">
        <v>2.4</v>
      </c>
      <c r="F49" s="11" t="n">
        <v>0.8704</v>
      </c>
      <c r="G49" s="11" t="n">
        <v>0.4837</v>
      </c>
      <c r="H49" s="11" t="n">
        <v>0.7761</v>
      </c>
      <c r="I49" s="11" t="n">
        <v>0.5465</v>
      </c>
    </row>
    <row r="50" customFormat="false" ht="15" hidden="false" customHeight="true" outlineLevel="0" collapsed="false">
      <c r="A50" s="3" t="s">
        <v>93</v>
      </c>
      <c r="B50" s="3" t="s">
        <v>81</v>
      </c>
      <c r="C50" s="3" t="n">
        <v>660</v>
      </c>
      <c r="D50" s="3" t="s">
        <v>55</v>
      </c>
      <c r="E50" s="3" t="n">
        <v>0.55</v>
      </c>
      <c r="F50" s="11" t="n">
        <v>0.9929</v>
      </c>
      <c r="G50" s="11" t="n">
        <v>0.6345</v>
      </c>
      <c r="H50" s="11" t="n">
        <v>0.9691</v>
      </c>
      <c r="I50" s="11" t="n">
        <v>0.7944</v>
      </c>
    </row>
    <row r="51" customFormat="false" ht="15" hidden="false" customHeight="true" outlineLevel="0" collapsed="false">
      <c r="A51" s="3" t="s">
        <v>94</v>
      </c>
      <c r="B51" s="3" t="s">
        <v>81</v>
      </c>
      <c r="C51" s="3" t="n">
        <v>660</v>
      </c>
      <c r="D51" s="3" t="s">
        <v>55</v>
      </c>
      <c r="E51" s="3" t="n">
        <v>0.8</v>
      </c>
      <c r="F51" s="11" t="n">
        <v>0.9929</v>
      </c>
      <c r="G51" s="11" t="n">
        <v>0.6351</v>
      </c>
      <c r="H51" s="11" t="n">
        <v>0.9691</v>
      </c>
      <c r="I51" s="11" t="n">
        <v>0.7944</v>
      </c>
    </row>
    <row r="52" customFormat="false" ht="15" hidden="false" customHeight="true" outlineLevel="0" collapsed="false">
      <c r="A52" s="3" t="s">
        <v>95</v>
      </c>
      <c r="B52" s="3" t="s">
        <v>81</v>
      </c>
      <c r="C52" s="3" t="n">
        <v>660</v>
      </c>
      <c r="D52" s="3" t="s">
        <v>55</v>
      </c>
      <c r="E52" s="3" t="n">
        <v>1</v>
      </c>
      <c r="F52" s="11" t="n">
        <v>0.9929</v>
      </c>
      <c r="G52" s="11" t="n">
        <v>0.6356</v>
      </c>
      <c r="H52" s="11" t="n">
        <v>0.9691</v>
      </c>
      <c r="I52" s="11" t="n">
        <v>0.7944</v>
      </c>
    </row>
    <row r="53" customFormat="false" ht="15" hidden="false" customHeight="true" outlineLevel="0" collapsed="false">
      <c r="A53" s="3" t="s">
        <v>96</v>
      </c>
      <c r="B53" s="3" t="s">
        <v>81</v>
      </c>
      <c r="C53" s="3" t="n">
        <v>660</v>
      </c>
      <c r="D53" s="3" t="s">
        <v>55</v>
      </c>
      <c r="E53" s="3" t="n">
        <v>1.3</v>
      </c>
      <c r="F53" s="11" t="n">
        <v>0.9929</v>
      </c>
      <c r="G53" s="11" t="n">
        <v>0.6365</v>
      </c>
      <c r="H53" s="11" t="n">
        <v>0.9692</v>
      </c>
      <c r="I53" s="11" t="n">
        <v>0.7947</v>
      </c>
    </row>
    <row r="54" customFormat="false" ht="15" hidden="false" customHeight="true" outlineLevel="0" collapsed="false">
      <c r="A54" s="3" t="s">
        <v>97</v>
      </c>
      <c r="B54" s="3" t="s">
        <v>81</v>
      </c>
      <c r="C54" s="3" t="n">
        <v>660</v>
      </c>
      <c r="D54" s="3" t="s">
        <v>55</v>
      </c>
      <c r="E54" s="3" t="n">
        <v>1.85</v>
      </c>
      <c r="F54" s="11" t="n">
        <v>0.9929</v>
      </c>
      <c r="G54" s="11" t="n">
        <v>0.6382</v>
      </c>
      <c r="H54" s="11" t="n">
        <v>0.9695</v>
      </c>
      <c r="I54" s="11" t="n">
        <v>0.7953</v>
      </c>
    </row>
    <row r="55" customFormat="false" ht="15" hidden="false" customHeight="true" outlineLevel="0" collapsed="false">
      <c r="A55" s="3" t="s">
        <v>98</v>
      </c>
      <c r="B55" s="3" t="s">
        <v>81</v>
      </c>
      <c r="C55" s="3" t="n">
        <v>660</v>
      </c>
      <c r="D55" s="3" t="s">
        <v>55</v>
      </c>
      <c r="E55" s="3" t="n">
        <v>2.4</v>
      </c>
      <c r="F55" s="11" t="n">
        <v>0.9929</v>
      </c>
      <c r="G55" s="11" t="n">
        <v>0.6399</v>
      </c>
      <c r="H55" s="11" t="n">
        <v>0.9698</v>
      </c>
      <c r="I55" s="11" t="n">
        <v>0.796</v>
      </c>
    </row>
    <row r="56" customFormat="false" ht="15" hidden="false" customHeight="true" outlineLevel="0" collapsed="false">
      <c r="A56" s="3" t="s">
        <v>99</v>
      </c>
      <c r="B56" s="3" t="s">
        <v>14</v>
      </c>
      <c r="C56" s="3" t="n">
        <v>600</v>
      </c>
      <c r="D56" s="3" t="s">
        <v>16</v>
      </c>
      <c r="E56" s="3" t="n">
        <v>0.55</v>
      </c>
      <c r="F56" s="11" t="n">
        <v>0.6574</v>
      </c>
      <c r="G56" s="11" t="n">
        <v>0.325</v>
      </c>
      <c r="H56" s="11" t="n">
        <v>0.5399</v>
      </c>
      <c r="I56" s="11" t="n">
        <v>0.3711</v>
      </c>
    </row>
    <row r="57" customFormat="false" ht="15" hidden="false" customHeight="true" outlineLevel="0" collapsed="false">
      <c r="A57" s="3" t="s">
        <v>100</v>
      </c>
      <c r="B57" s="3" t="s">
        <v>14</v>
      </c>
      <c r="C57" s="3" t="n">
        <v>600</v>
      </c>
      <c r="D57" s="3" t="s">
        <v>16</v>
      </c>
      <c r="E57" s="3" t="n">
        <v>0.8</v>
      </c>
      <c r="F57" s="11" t="n">
        <v>0.6974</v>
      </c>
      <c r="G57" s="11" t="n">
        <v>0.3506</v>
      </c>
      <c r="H57" s="11" t="n">
        <v>0.5911</v>
      </c>
      <c r="I57" s="11" t="n">
        <v>0.412</v>
      </c>
    </row>
    <row r="58" customFormat="false" ht="15" hidden="false" customHeight="true" outlineLevel="0" collapsed="false">
      <c r="A58" s="3" t="s">
        <v>101</v>
      </c>
      <c r="B58" s="3" t="s">
        <v>14</v>
      </c>
      <c r="C58" s="3" t="n">
        <v>600</v>
      </c>
      <c r="D58" s="3" t="s">
        <v>16</v>
      </c>
      <c r="E58" s="3" t="n">
        <v>1</v>
      </c>
      <c r="F58" s="11" t="n">
        <v>0.7271</v>
      </c>
      <c r="G58" s="11" t="n">
        <v>0.3658</v>
      </c>
      <c r="H58" s="11" t="n">
        <v>0.6255</v>
      </c>
      <c r="I58" s="11" t="n">
        <v>0.4416</v>
      </c>
    </row>
    <row r="59" customFormat="false" ht="15" hidden="false" customHeight="true" outlineLevel="0" collapsed="false">
      <c r="A59" s="3" t="s">
        <v>102</v>
      </c>
      <c r="B59" s="3" t="s">
        <v>14</v>
      </c>
      <c r="C59" s="3" t="n">
        <v>600</v>
      </c>
      <c r="D59" s="3" t="s">
        <v>16</v>
      </c>
      <c r="E59" s="3" t="n">
        <v>1.3</v>
      </c>
      <c r="F59" s="11" t="n">
        <v>0.7636</v>
      </c>
      <c r="G59" s="11" t="n">
        <v>0.3842</v>
      </c>
      <c r="H59" s="11" t="n">
        <v>0.6668</v>
      </c>
      <c r="I59" s="11" t="n">
        <v>0.4779</v>
      </c>
    </row>
    <row r="60" customFormat="false" ht="15" hidden="false" customHeight="true" outlineLevel="0" collapsed="false">
      <c r="A60" s="3" t="s">
        <v>103</v>
      </c>
      <c r="B60" s="3" t="s">
        <v>14</v>
      </c>
      <c r="C60" s="3" t="n">
        <v>600</v>
      </c>
      <c r="D60" s="3" t="s">
        <v>16</v>
      </c>
      <c r="E60" s="3" t="n">
        <v>1.85</v>
      </c>
      <c r="F60" s="11" t="n">
        <v>0.813</v>
      </c>
      <c r="G60" s="11" t="n">
        <v>0.4111</v>
      </c>
      <c r="H60" s="11" t="n">
        <v>0.7229</v>
      </c>
      <c r="I60" s="11" t="n">
        <v>0.5283</v>
      </c>
    </row>
    <row r="61" customFormat="false" ht="15" hidden="false" customHeight="true" outlineLevel="0" collapsed="false">
      <c r="A61" s="3" t="s">
        <v>104</v>
      </c>
      <c r="B61" s="3" t="s">
        <v>14</v>
      </c>
      <c r="C61" s="3" t="n">
        <v>600</v>
      </c>
      <c r="D61" s="3" t="s">
        <v>16</v>
      </c>
      <c r="E61" s="3" t="n">
        <v>2.4</v>
      </c>
      <c r="F61" s="11" t="n">
        <v>0.8497</v>
      </c>
      <c r="G61" s="11" t="n">
        <v>0.4301</v>
      </c>
      <c r="H61" s="11" t="n">
        <v>0.765</v>
      </c>
      <c r="I61" s="11" t="n">
        <v>0.5677</v>
      </c>
    </row>
    <row r="62" customFormat="false" ht="15" hidden="false" customHeight="true" outlineLevel="0" collapsed="false">
      <c r="A62" s="3" t="s">
        <v>105</v>
      </c>
      <c r="B62" s="3" t="s">
        <v>14</v>
      </c>
      <c r="C62" s="3" t="n">
        <v>600</v>
      </c>
      <c r="D62" s="3" t="s">
        <v>48</v>
      </c>
      <c r="E62" s="3" t="n">
        <v>0.55</v>
      </c>
      <c r="F62" s="11" t="n">
        <v>0.6733</v>
      </c>
      <c r="G62" s="11" t="n">
        <v>0.3549</v>
      </c>
      <c r="H62" s="11" t="n">
        <v>0.5406</v>
      </c>
      <c r="I62" s="11" t="n">
        <v>0.3507</v>
      </c>
    </row>
    <row r="63" customFormat="false" ht="15" hidden="false" customHeight="true" outlineLevel="0" collapsed="false">
      <c r="A63" s="3" t="s">
        <v>106</v>
      </c>
      <c r="B63" s="3" t="s">
        <v>14</v>
      </c>
      <c r="C63" s="3" t="n">
        <v>600</v>
      </c>
      <c r="D63" s="3" t="s">
        <v>48</v>
      </c>
      <c r="E63" s="3" t="n">
        <v>0.8</v>
      </c>
      <c r="F63" s="11" t="n">
        <v>0.7123</v>
      </c>
      <c r="G63" s="11" t="n">
        <v>0.382</v>
      </c>
      <c r="H63" s="11" t="n">
        <v>0.5933</v>
      </c>
      <c r="I63" s="11" t="n">
        <v>0.3923</v>
      </c>
    </row>
    <row r="64" customFormat="false" ht="15" hidden="false" customHeight="true" outlineLevel="0" collapsed="false">
      <c r="A64" s="3" t="s">
        <v>107</v>
      </c>
      <c r="B64" s="3" t="s">
        <v>14</v>
      </c>
      <c r="C64" s="3" t="n">
        <v>600</v>
      </c>
      <c r="D64" s="3" t="s">
        <v>48</v>
      </c>
      <c r="E64" s="3" t="n">
        <v>1</v>
      </c>
      <c r="F64" s="11" t="n">
        <v>0.741</v>
      </c>
      <c r="G64" s="11" t="n">
        <v>0.3975</v>
      </c>
      <c r="H64" s="11" t="n">
        <v>0.6276</v>
      </c>
      <c r="I64" s="11" t="n">
        <v>0.4221</v>
      </c>
    </row>
    <row r="65" customFormat="false" ht="15" hidden="false" customHeight="true" outlineLevel="0" collapsed="false">
      <c r="A65" s="3" t="s">
        <v>108</v>
      </c>
      <c r="B65" s="3" t="s">
        <v>14</v>
      </c>
      <c r="C65" s="3" t="n">
        <v>600</v>
      </c>
      <c r="D65" s="3" t="s">
        <v>48</v>
      </c>
      <c r="E65" s="3" t="n">
        <v>1.3</v>
      </c>
      <c r="F65" s="11" t="n">
        <v>0.7766</v>
      </c>
      <c r="G65" s="11" t="n">
        <v>0.4164</v>
      </c>
      <c r="H65" s="11" t="n">
        <v>0.6688</v>
      </c>
      <c r="I65" s="11" t="n">
        <v>0.459</v>
      </c>
    </row>
    <row r="66" customFormat="false" ht="15" hidden="false" customHeight="true" outlineLevel="0" collapsed="false">
      <c r="A66" s="3" t="s">
        <v>109</v>
      </c>
      <c r="B66" s="3" t="s">
        <v>14</v>
      </c>
      <c r="C66" s="3" t="n">
        <v>600</v>
      </c>
      <c r="D66" s="3" t="s">
        <v>48</v>
      </c>
      <c r="E66" s="3" t="n">
        <v>1.85</v>
      </c>
      <c r="F66" s="11" t="n">
        <v>0.8252</v>
      </c>
      <c r="G66" s="11" t="n">
        <v>0.4434</v>
      </c>
      <c r="H66" s="11" t="n">
        <v>0.725</v>
      </c>
      <c r="I66" s="11" t="n">
        <v>0.5103</v>
      </c>
    </row>
    <row r="67" customFormat="false" ht="15" hidden="false" customHeight="true" outlineLevel="0" collapsed="false">
      <c r="A67" s="3" t="s">
        <v>110</v>
      </c>
      <c r="B67" s="3" t="s">
        <v>14</v>
      </c>
      <c r="C67" s="3" t="n">
        <v>600</v>
      </c>
      <c r="D67" s="3" t="s">
        <v>48</v>
      </c>
      <c r="E67" s="3" t="n">
        <v>2.4</v>
      </c>
      <c r="F67" s="11" t="n">
        <v>0.8605</v>
      </c>
      <c r="G67" s="11" t="n">
        <v>0.4632</v>
      </c>
      <c r="H67" s="11" t="n">
        <v>0.7668</v>
      </c>
      <c r="I67" s="11" t="n">
        <v>0.5498</v>
      </c>
    </row>
    <row r="68" customFormat="false" ht="15" hidden="false" customHeight="true" outlineLevel="0" collapsed="false">
      <c r="A68" s="3" t="s">
        <v>111</v>
      </c>
      <c r="B68" s="3" t="s">
        <v>14</v>
      </c>
      <c r="C68" s="3" t="n">
        <v>600</v>
      </c>
      <c r="D68" s="3" t="s">
        <v>55</v>
      </c>
      <c r="E68" s="3" t="n">
        <v>0.55</v>
      </c>
      <c r="F68" s="11" t="n">
        <v>0.9886</v>
      </c>
      <c r="G68" s="11" t="n">
        <v>0.5984</v>
      </c>
      <c r="H68" s="11" t="n">
        <v>0.96</v>
      </c>
      <c r="I68" s="11" t="n">
        <v>0.7815</v>
      </c>
    </row>
    <row r="69" customFormat="false" ht="15" hidden="false" customHeight="true" outlineLevel="0" collapsed="false">
      <c r="A69" s="3" t="s">
        <v>112</v>
      </c>
      <c r="B69" s="3" t="s">
        <v>14</v>
      </c>
      <c r="C69" s="3" t="n">
        <v>600</v>
      </c>
      <c r="D69" s="3" t="s">
        <v>55</v>
      </c>
      <c r="E69" s="3" t="n">
        <v>0.8</v>
      </c>
      <c r="F69" s="11" t="n">
        <v>0.9886</v>
      </c>
      <c r="G69" s="11" t="n">
        <v>0.5988</v>
      </c>
      <c r="H69" s="11" t="n">
        <v>0.96</v>
      </c>
      <c r="I69" s="11" t="n">
        <v>0.7815</v>
      </c>
    </row>
    <row r="70" customFormat="false" ht="15" hidden="false" customHeight="true" outlineLevel="0" collapsed="false">
      <c r="A70" s="3" t="s">
        <v>113</v>
      </c>
      <c r="B70" s="3" t="s">
        <v>14</v>
      </c>
      <c r="C70" s="3" t="n">
        <v>600</v>
      </c>
      <c r="D70" s="3" t="s">
        <v>55</v>
      </c>
      <c r="E70" s="3" t="n">
        <v>1</v>
      </c>
      <c r="F70" s="11" t="n">
        <v>0.9886</v>
      </c>
      <c r="G70" s="11" t="n">
        <v>0.5993</v>
      </c>
      <c r="H70" s="11" t="n">
        <v>0.96</v>
      </c>
      <c r="I70" s="11" t="n">
        <v>0.7816</v>
      </c>
    </row>
    <row r="71" customFormat="false" ht="15" hidden="false" customHeight="true" outlineLevel="0" collapsed="false">
      <c r="A71" s="3" t="s">
        <v>114</v>
      </c>
      <c r="B71" s="3" t="s">
        <v>14</v>
      </c>
      <c r="C71" s="3" t="n">
        <v>600</v>
      </c>
      <c r="D71" s="3" t="s">
        <v>55</v>
      </c>
      <c r="E71" s="3" t="n">
        <v>1.3</v>
      </c>
      <c r="F71" s="11" t="n">
        <v>0.9886</v>
      </c>
      <c r="G71" s="11" t="n">
        <v>0.6</v>
      </c>
      <c r="H71" s="11" t="n">
        <v>0.9601</v>
      </c>
      <c r="I71" s="11" t="n">
        <v>0.7816</v>
      </c>
    </row>
    <row r="72" customFormat="false" ht="15" hidden="false" customHeight="true" outlineLevel="0" collapsed="false">
      <c r="A72" s="3" t="s">
        <v>115</v>
      </c>
      <c r="B72" s="3" t="s">
        <v>14</v>
      </c>
      <c r="C72" s="3" t="n">
        <v>600</v>
      </c>
      <c r="D72" s="3" t="s">
        <v>55</v>
      </c>
      <c r="E72" s="3" t="n">
        <v>1.85</v>
      </c>
      <c r="F72" s="11" t="n">
        <v>0.9886</v>
      </c>
      <c r="G72" s="11" t="n">
        <v>0.6015</v>
      </c>
      <c r="H72" s="11" t="n">
        <v>0.9606</v>
      </c>
      <c r="I72" s="11" t="n">
        <v>0.7826</v>
      </c>
    </row>
    <row r="73" customFormat="false" ht="15" hidden="false" customHeight="true" outlineLevel="0" collapsed="false">
      <c r="A73" s="3" t="s">
        <v>116</v>
      </c>
      <c r="B73" s="3" t="s">
        <v>14</v>
      </c>
      <c r="C73" s="3" t="n">
        <v>600</v>
      </c>
      <c r="D73" s="3" t="s">
        <v>55</v>
      </c>
      <c r="E73" s="3" t="n">
        <v>2.4</v>
      </c>
      <c r="F73" s="11" t="n">
        <v>0.9886</v>
      </c>
      <c r="G73" s="11" t="n">
        <v>0.603</v>
      </c>
      <c r="H73" s="11" t="n">
        <v>0.9613</v>
      </c>
      <c r="I73" s="11" t="n">
        <v>0.7831</v>
      </c>
    </row>
    <row r="74" customFormat="false" ht="15" hidden="false" customHeight="true" outlineLevel="0" collapsed="false">
      <c r="A74" s="3" t="s">
        <v>117</v>
      </c>
      <c r="B74" s="3" t="s">
        <v>118</v>
      </c>
      <c r="C74" s="3" t="n">
        <v>480</v>
      </c>
      <c r="D74" s="3" t="s">
        <v>16</v>
      </c>
      <c r="E74" s="3" t="n">
        <v>0.55</v>
      </c>
      <c r="F74" s="11" t="n">
        <v>0.5964</v>
      </c>
      <c r="G74" s="11" t="n">
        <v>0.2608</v>
      </c>
      <c r="H74" s="11" t="n">
        <v>0.4867</v>
      </c>
      <c r="I74" s="11" t="n">
        <v>0.3488</v>
      </c>
    </row>
    <row r="75" customFormat="false" ht="15" hidden="false" customHeight="true" outlineLevel="0" collapsed="false">
      <c r="A75" s="3" t="s">
        <v>119</v>
      </c>
      <c r="B75" s="3" t="s">
        <v>118</v>
      </c>
      <c r="C75" s="3" t="n">
        <v>480</v>
      </c>
      <c r="D75" s="3" t="s">
        <v>16</v>
      </c>
      <c r="E75" s="3" t="n">
        <v>0.8</v>
      </c>
      <c r="F75" s="11" t="n">
        <v>0.643</v>
      </c>
      <c r="G75" s="11" t="n">
        <v>0.2857</v>
      </c>
      <c r="H75" s="11" t="n">
        <v>0.5414</v>
      </c>
      <c r="I75" s="11" t="n">
        <v>0.3926</v>
      </c>
    </row>
    <row r="76" customFormat="false" ht="15" hidden="false" customHeight="true" outlineLevel="0" collapsed="false">
      <c r="A76" s="3" t="s">
        <v>120</v>
      </c>
      <c r="B76" s="3" t="s">
        <v>118</v>
      </c>
      <c r="C76" s="3" t="n">
        <v>480</v>
      </c>
      <c r="D76" s="3" t="s">
        <v>16</v>
      </c>
      <c r="E76" s="3" t="n">
        <v>1</v>
      </c>
      <c r="F76" s="11" t="n">
        <v>0.6768</v>
      </c>
      <c r="G76" s="11" t="n">
        <v>0.3018</v>
      </c>
      <c r="H76" s="11" t="n">
        <v>0.5796</v>
      </c>
      <c r="I76" s="11" t="n">
        <v>0.4254</v>
      </c>
    </row>
    <row r="77" customFormat="false" ht="15" hidden="false" customHeight="true" outlineLevel="0" collapsed="false">
      <c r="A77" s="3" t="s">
        <v>121</v>
      </c>
      <c r="B77" s="3" t="s">
        <v>118</v>
      </c>
      <c r="C77" s="3" t="n">
        <v>480</v>
      </c>
      <c r="D77" s="3" t="s">
        <v>16</v>
      </c>
      <c r="E77" s="3" t="n">
        <v>1.3</v>
      </c>
      <c r="F77" s="11" t="n">
        <v>0.7199</v>
      </c>
      <c r="G77" s="11" t="n">
        <v>0.3221</v>
      </c>
      <c r="H77" s="11" t="n">
        <v>0.6262</v>
      </c>
      <c r="I77" s="11" t="n">
        <v>0.465</v>
      </c>
    </row>
    <row r="78" customFormat="false" ht="15" hidden="false" customHeight="true" outlineLevel="0" collapsed="false">
      <c r="A78" s="3" t="s">
        <v>122</v>
      </c>
      <c r="B78" s="3" t="s">
        <v>118</v>
      </c>
      <c r="C78" s="3" t="n">
        <v>480</v>
      </c>
      <c r="D78" s="3" t="s">
        <v>16</v>
      </c>
      <c r="E78" s="3" t="n">
        <v>1.85</v>
      </c>
      <c r="F78" s="11" t="n">
        <v>0.7781</v>
      </c>
      <c r="G78" s="11" t="n">
        <v>0.352</v>
      </c>
      <c r="H78" s="11" t="n">
        <v>0.6905</v>
      </c>
      <c r="I78" s="11" t="n">
        <v>0.5186</v>
      </c>
    </row>
    <row r="79" customFormat="false" ht="15" hidden="false" customHeight="true" outlineLevel="0" collapsed="false">
      <c r="A79" s="3" t="s">
        <v>123</v>
      </c>
      <c r="B79" s="3" t="s">
        <v>118</v>
      </c>
      <c r="C79" s="3" t="n">
        <v>480</v>
      </c>
      <c r="D79" s="3" t="s">
        <v>16</v>
      </c>
      <c r="E79" s="3" t="n">
        <v>2.4</v>
      </c>
      <c r="F79" s="11" t="n">
        <v>0.823</v>
      </c>
      <c r="G79" s="11" t="n">
        <v>0.3734</v>
      </c>
      <c r="H79" s="11" t="n">
        <v>0.7395</v>
      </c>
      <c r="I79" s="11" t="n">
        <v>0.5609</v>
      </c>
    </row>
    <row r="80" customFormat="false" ht="15" hidden="false" customHeight="true" outlineLevel="0" collapsed="false">
      <c r="A80" s="3" t="s">
        <v>124</v>
      </c>
      <c r="B80" s="3" t="s">
        <v>118</v>
      </c>
      <c r="C80" s="3" t="n">
        <v>480</v>
      </c>
      <c r="D80" s="3" t="s">
        <v>48</v>
      </c>
      <c r="E80" s="3" t="n">
        <v>0.55</v>
      </c>
      <c r="F80" s="11" t="n">
        <v>0.6254</v>
      </c>
      <c r="G80" s="11" t="n">
        <v>0.2999</v>
      </c>
      <c r="H80" s="11" t="n">
        <v>0.5004</v>
      </c>
      <c r="I80" s="11" t="n">
        <v>0.3386</v>
      </c>
    </row>
    <row r="81" customFormat="false" ht="15" hidden="false" customHeight="true" outlineLevel="0" collapsed="false">
      <c r="A81" s="3" t="s">
        <v>125</v>
      </c>
      <c r="B81" s="3" t="s">
        <v>118</v>
      </c>
      <c r="C81" s="3" t="n">
        <v>480</v>
      </c>
      <c r="D81" s="3" t="s">
        <v>48</v>
      </c>
      <c r="E81" s="3" t="n">
        <v>0.8</v>
      </c>
      <c r="F81" s="11" t="n">
        <v>0.6744</v>
      </c>
      <c r="G81" s="11" t="n">
        <v>0.3303</v>
      </c>
      <c r="H81" s="11" t="n">
        <v>0.5616</v>
      </c>
      <c r="I81" s="11" t="n">
        <v>0.3864</v>
      </c>
    </row>
    <row r="82" customFormat="false" ht="15" hidden="false" customHeight="true" outlineLevel="0" collapsed="false">
      <c r="A82" s="3" t="s">
        <v>126</v>
      </c>
      <c r="B82" s="3" t="s">
        <v>118</v>
      </c>
      <c r="C82" s="3" t="n">
        <v>480</v>
      </c>
      <c r="D82" s="3" t="s">
        <v>48</v>
      </c>
      <c r="E82" s="3" t="n">
        <v>1</v>
      </c>
      <c r="F82" s="11" t="n">
        <v>0.708</v>
      </c>
      <c r="G82" s="11" t="n">
        <v>0.3483</v>
      </c>
      <c r="H82" s="11" t="n">
        <v>0.6007</v>
      </c>
      <c r="I82" s="11" t="n">
        <v>0.42</v>
      </c>
    </row>
    <row r="83" customFormat="false" ht="15" hidden="false" customHeight="true" outlineLevel="0" collapsed="false">
      <c r="A83" s="3" t="s">
        <v>127</v>
      </c>
      <c r="B83" s="3" t="s">
        <v>118</v>
      </c>
      <c r="C83" s="3" t="n">
        <v>480</v>
      </c>
      <c r="D83" s="3" t="s">
        <v>48</v>
      </c>
      <c r="E83" s="3" t="n">
        <v>1.3</v>
      </c>
      <c r="F83" s="11" t="n">
        <v>0.7509</v>
      </c>
      <c r="G83" s="11" t="n">
        <v>0.3714</v>
      </c>
      <c r="H83" s="11" t="n">
        <v>0.6492</v>
      </c>
      <c r="I83" s="11" t="n">
        <v>0.4616</v>
      </c>
    </row>
    <row r="84" customFormat="false" ht="15" hidden="false" customHeight="true" outlineLevel="0" collapsed="false">
      <c r="A84" s="3" t="s">
        <v>128</v>
      </c>
      <c r="B84" s="3" t="s">
        <v>118</v>
      </c>
      <c r="C84" s="3" t="n">
        <v>480</v>
      </c>
      <c r="D84" s="3" t="s">
        <v>48</v>
      </c>
      <c r="E84" s="3" t="n">
        <v>1.85</v>
      </c>
      <c r="F84" s="11" t="n">
        <v>0.8077</v>
      </c>
      <c r="G84" s="11" t="n">
        <v>0.4022</v>
      </c>
      <c r="H84" s="11" t="n">
        <v>0.7138</v>
      </c>
      <c r="I84" s="11" t="n">
        <v>0.5165</v>
      </c>
    </row>
    <row r="85" customFormat="false" ht="15" hidden="false" customHeight="true" outlineLevel="0" collapsed="false">
      <c r="A85" s="3" t="s">
        <v>129</v>
      </c>
      <c r="B85" s="3" t="s">
        <v>118</v>
      </c>
      <c r="C85" s="3" t="n">
        <v>480</v>
      </c>
      <c r="D85" s="3" t="s">
        <v>48</v>
      </c>
      <c r="E85" s="3" t="n">
        <v>2.4</v>
      </c>
      <c r="F85" s="11" t="n">
        <v>0.8496</v>
      </c>
      <c r="G85" s="11" t="n">
        <v>0.4256</v>
      </c>
      <c r="H85" s="11" t="n">
        <v>0.761</v>
      </c>
      <c r="I85" s="11" t="n">
        <v>0.5582</v>
      </c>
    </row>
    <row r="86" customFormat="false" ht="15" hidden="false" customHeight="true" outlineLevel="0" collapsed="false">
      <c r="A86" s="3" t="s">
        <v>130</v>
      </c>
      <c r="B86" s="3" t="s">
        <v>118</v>
      </c>
      <c r="C86" s="3" t="n">
        <v>480</v>
      </c>
      <c r="D86" s="3" t="s">
        <v>55</v>
      </c>
      <c r="E86" s="3" t="n">
        <v>0.55</v>
      </c>
      <c r="F86" s="11" t="n">
        <v>0.9735</v>
      </c>
      <c r="G86" s="11" t="n">
        <v>0.5156</v>
      </c>
      <c r="H86" s="11" t="n">
        <v>0.929</v>
      </c>
      <c r="I86" s="11" t="n">
        <v>0.7451</v>
      </c>
    </row>
    <row r="87" customFormat="false" ht="15" hidden="false" customHeight="true" outlineLevel="0" collapsed="false">
      <c r="A87" s="3" t="s">
        <v>131</v>
      </c>
      <c r="B87" s="3" t="s">
        <v>118</v>
      </c>
      <c r="C87" s="3" t="n">
        <v>480</v>
      </c>
      <c r="D87" s="3" t="s">
        <v>55</v>
      </c>
      <c r="E87" s="3" t="n">
        <v>0.8</v>
      </c>
      <c r="F87" s="11" t="n">
        <v>0.9735</v>
      </c>
      <c r="G87" s="11" t="n">
        <v>0.516</v>
      </c>
      <c r="H87" s="11" t="n">
        <v>0.929</v>
      </c>
      <c r="I87" s="11" t="n">
        <v>0.745</v>
      </c>
    </row>
    <row r="88" customFormat="false" ht="15" hidden="false" customHeight="true" outlineLevel="0" collapsed="false">
      <c r="A88" s="3" t="s">
        <v>132</v>
      </c>
      <c r="B88" s="3" t="s">
        <v>118</v>
      </c>
      <c r="C88" s="3" t="n">
        <v>480</v>
      </c>
      <c r="D88" s="3" t="s">
        <v>55</v>
      </c>
      <c r="E88" s="3" t="n">
        <v>1</v>
      </c>
      <c r="F88" s="11" t="n">
        <v>0.9735</v>
      </c>
      <c r="G88" s="11" t="n">
        <v>0.5163</v>
      </c>
      <c r="H88" s="11" t="n">
        <v>0.929</v>
      </c>
      <c r="I88" s="11" t="n">
        <v>0.745</v>
      </c>
    </row>
    <row r="89" customFormat="false" ht="15" hidden="false" customHeight="true" outlineLevel="0" collapsed="false">
      <c r="A89" s="3" t="s">
        <v>133</v>
      </c>
      <c r="B89" s="3" t="s">
        <v>118</v>
      </c>
      <c r="C89" s="3" t="n">
        <v>480</v>
      </c>
      <c r="D89" s="3" t="s">
        <v>55</v>
      </c>
      <c r="E89" s="3" t="n">
        <v>1.3</v>
      </c>
      <c r="F89" s="11" t="n">
        <v>0.9735</v>
      </c>
      <c r="G89" s="11" t="n">
        <v>0.5171</v>
      </c>
      <c r="H89" s="11" t="n">
        <v>0.9295</v>
      </c>
      <c r="I89" s="11" t="n">
        <v>0.745</v>
      </c>
    </row>
    <row r="90" customFormat="false" ht="15" hidden="false" customHeight="true" outlineLevel="0" collapsed="false">
      <c r="A90" s="3" t="s">
        <v>134</v>
      </c>
      <c r="B90" s="3" t="s">
        <v>118</v>
      </c>
      <c r="C90" s="3" t="n">
        <v>480</v>
      </c>
      <c r="D90" s="3" t="s">
        <v>55</v>
      </c>
      <c r="E90" s="3" t="n">
        <v>1.85</v>
      </c>
      <c r="F90" s="11" t="n">
        <v>0.9735</v>
      </c>
      <c r="G90" s="11" t="n">
        <v>0.5186</v>
      </c>
      <c r="H90" s="11" t="n">
        <v>0.9306</v>
      </c>
      <c r="I90" s="11" t="n">
        <v>0.7456</v>
      </c>
    </row>
    <row r="91" customFormat="false" ht="15" hidden="false" customHeight="true" outlineLevel="0" collapsed="false">
      <c r="A91" s="3" t="s">
        <v>135</v>
      </c>
      <c r="B91" s="3" t="s">
        <v>118</v>
      </c>
      <c r="C91" s="3" t="n">
        <v>480</v>
      </c>
      <c r="D91" s="3" t="s">
        <v>55</v>
      </c>
      <c r="E91" s="3" t="n">
        <v>2.4</v>
      </c>
      <c r="F91" s="11" t="n">
        <v>0.9735</v>
      </c>
      <c r="G91" s="11" t="n">
        <v>0.52</v>
      </c>
      <c r="H91" s="11" t="n">
        <v>0.9314</v>
      </c>
      <c r="I91" s="11" t="n">
        <v>0.7463</v>
      </c>
    </row>
    <row r="92" customFormat="false" ht="15" hidden="false" customHeight="true" outlineLevel="0" collapsed="false">
      <c r="A92" s="3" t="s">
        <v>136</v>
      </c>
      <c r="B92" s="3" t="s">
        <v>137</v>
      </c>
      <c r="C92" s="3" t="n">
        <v>360</v>
      </c>
      <c r="D92" s="3" t="s">
        <v>16</v>
      </c>
      <c r="E92" s="3" t="n">
        <v>0.55</v>
      </c>
      <c r="F92" s="11" t="n">
        <v>0.5111</v>
      </c>
      <c r="G92" s="11" t="n">
        <v>0.1945</v>
      </c>
      <c r="H92" s="11" t="n">
        <v>0.409</v>
      </c>
      <c r="I92" s="11" t="n">
        <v>0.3044</v>
      </c>
    </row>
    <row r="93" customFormat="false" ht="15" hidden="false" customHeight="true" outlineLevel="0" collapsed="false">
      <c r="A93" s="3" t="s">
        <v>138</v>
      </c>
      <c r="B93" s="3" t="s">
        <v>137</v>
      </c>
      <c r="C93" s="3" t="n">
        <v>360</v>
      </c>
      <c r="D93" s="3" t="s">
        <v>16</v>
      </c>
      <c r="E93" s="3" t="n">
        <v>0.8</v>
      </c>
      <c r="F93" s="11" t="n">
        <v>0.5581</v>
      </c>
      <c r="G93" s="11" t="n">
        <v>0.2185</v>
      </c>
      <c r="H93" s="11" t="n">
        <v>0.4625</v>
      </c>
      <c r="I93" s="11" t="n">
        <v>0.3475</v>
      </c>
    </row>
    <row r="94" customFormat="false" ht="15" hidden="false" customHeight="true" outlineLevel="0" collapsed="false">
      <c r="A94" s="3" t="s">
        <v>139</v>
      </c>
      <c r="B94" s="3" t="s">
        <v>137</v>
      </c>
      <c r="C94" s="3" t="n">
        <v>360</v>
      </c>
      <c r="D94" s="3" t="s">
        <v>16</v>
      </c>
      <c r="E94" s="3" t="n">
        <v>1</v>
      </c>
      <c r="F94" s="11" t="n">
        <v>0.5924</v>
      </c>
      <c r="G94" s="11" t="n">
        <v>0.2344</v>
      </c>
      <c r="H94" s="11" t="n">
        <v>0.4995</v>
      </c>
      <c r="I94" s="11" t="n">
        <v>0.3778</v>
      </c>
    </row>
    <row r="95" customFormat="false" ht="15" hidden="false" customHeight="true" outlineLevel="0" collapsed="false">
      <c r="A95" s="3" t="s">
        <v>140</v>
      </c>
      <c r="B95" s="3" t="s">
        <v>137</v>
      </c>
      <c r="C95" s="3" t="n">
        <v>360</v>
      </c>
      <c r="D95" s="3" t="s">
        <v>16</v>
      </c>
      <c r="E95" s="3" t="n">
        <v>1.3</v>
      </c>
      <c r="F95" s="11" t="n">
        <v>0.6403</v>
      </c>
      <c r="G95" s="11" t="n">
        <v>0.2535</v>
      </c>
      <c r="H95" s="11" t="n">
        <v>0.5489</v>
      </c>
      <c r="I95" s="11" t="n">
        <v>0.4189</v>
      </c>
    </row>
    <row r="96" customFormat="false" ht="15" hidden="false" customHeight="true" outlineLevel="0" collapsed="false">
      <c r="A96" s="3" t="s">
        <v>141</v>
      </c>
      <c r="B96" s="3" t="s">
        <v>137</v>
      </c>
      <c r="C96" s="3" t="n">
        <v>360</v>
      </c>
      <c r="D96" s="3" t="s">
        <v>16</v>
      </c>
      <c r="E96" s="3" t="n">
        <v>1.85</v>
      </c>
      <c r="F96" s="11" t="n">
        <v>0.7087</v>
      </c>
      <c r="G96" s="11" t="n">
        <v>0.2824</v>
      </c>
      <c r="H96" s="11" t="n">
        <v>0.621</v>
      </c>
      <c r="I96" s="11" t="n">
        <v>0.4798</v>
      </c>
    </row>
    <row r="97" customFormat="false" ht="15" hidden="false" customHeight="true" outlineLevel="0" collapsed="false">
      <c r="A97" s="3" t="s">
        <v>142</v>
      </c>
      <c r="B97" s="3" t="s">
        <v>137</v>
      </c>
      <c r="C97" s="3" t="n">
        <v>360</v>
      </c>
      <c r="D97" s="3" t="s">
        <v>16</v>
      </c>
      <c r="E97" s="3" t="n">
        <v>2.4</v>
      </c>
      <c r="F97" s="11" t="n">
        <v>0.7599</v>
      </c>
      <c r="G97" s="11" t="n">
        <v>0.3038</v>
      </c>
      <c r="H97" s="11" t="n">
        <v>0.6747</v>
      </c>
      <c r="I97" s="11" t="n">
        <v>0.5263</v>
      </c>
    </row>
    <row r="98" customFormat="false" ht="15" hidden="false" customHeight="true" outlineLevel="0" collapsed="false">
      <c r="A98" s="3" t="s">
        <v>143</v>
      </c>
      <c r="B98" s="3" t="s">
        <v>137</v>
      </c>
      <c r="C98" s="3" t="n">
        <v>360</v>
      </c>
      <c r="D98" s="3" t="s">
        <v>48</v>
      </c>
      <c r="E98" s="3" t="n">
        <v>0.55</v>
      </c>
      <c r="F98" s="11" t="n">
        <v>0.6094</v>
      </c>
      <c r="G98" s="11" t="n">
        <v>0.2679</v>
      </c>
      <c r="H98" s="11" t="n">
        <v>0.4948</v>
      </c>
      <c r="I98" s="11" t="n">
        <v>0.3535</v>
      </c>
    </row>
    <row r="99" customFormat="false" ht="15" hidden="false" customHeight="true" outlineLevel="0" collapsed="false">
      <c r="A99" s="3" t="s">
        <v>144</v>
      </c>
      <c r="B99" s="3" t="s">
        <v>137</v>
      </c>
      <c r="C99" s="3" t="n">
        <v>360</v>
      </c>
      <c r="D99" s="3" t="s">
        <v>48</v>
      </c>
      <c r="E99" s="3" t="n">
        <v>0.8</v>
      </c>
      <c r="F99" s="11" t="n">
        <v>0.6738</v>
      </c>
      <c r="G99" s="11" t="n">
        <v>0.3005</v>
      </c>
      <c r="H99" s="11" t="n">
        <v>0.5681</v>
      </c>
      <c r="I99" s="11" t="n">
        <v>0.4138</v>
      </c>
    </row>
    <row r="100" customFormat="false" ht="15" hidden="false" customHeight="true" outlineLevel="0" collapsed="false">
      <c r="A100" s="3" t="s">
        <v>145</v>
      </c>
      <c r="B100" s="3" t="s">
        <v>137</v>
      </c>
      <c r="C100" s="3" t="n">
        <v>360</v>
      </c>
      <c r="D100" s="3" t="s">
        <v>48</v>
      </c>
      <c r="E100" s="3" t="n">
        <v>1</v>
      </c>
      <c r="F100" s="11" t="n">
        <v>0.7175</v>
      </c>
      <c r="G100" s="11" t="n">
        <v>0.3215</v>
      </c>
      <c r="H100" s="11" t="n">
        <v>0.6149</v>
      </c>
      <c r="I100" s="11" t="n">
        <v>0.4531</v>
      </c>
    </row>
    <row r="101" customFormat="false" ht="15" hidden="false" customHeight="true" outlineLevel="0" collapsed="false">
      <c r="A101" s="3" t="s">
        <v>146</v>
      </c>
      <c r="B101" s="3" t="s">
        <v>137</v>
      </c>
      <c r="C101" s="3" t="n">
        <v>360</v>
      </c>
      <c r="D101" s="3" t="s">
        <v>48</v>
      </c>
      <c r="E101" s="3" t="n">
        <v>1.3</v>
      </c>
      <c r="F101" s="11" t="n">
        <v>0.7687</v>
      </c>
      <c r="G101" s="11" t="n">
        <v>0.3449</v>
      </c>
      <c r="H101" s="11" t="n">
        <v>0.6696</v>
      </c>
      <c r="I101" s="11" t="n">
        <v>0.4996</v>
      </c>
    </row>
    <row r="102" customFormat="false" ht="15" hidden="false" customHeight="true" outlineLevel="0" collapsed="false">
      <c r="A102" s="3" t="s">
        <v>147</v>
      </c>
      <c r="B102" s="3" t="s">
        <v>137</v>
      </c>
      <c r="C102" s="3" t="n">
        <v>360</v>
      </c>
      <c r="D102" s="3" t="s">
        <v>48</v>
      </c>
      <c r="E102" s="3" t="n">
        <v>1.85</v>
      </c>
      <c r="F102" s="11" t="n">
        <v>0.8317</v>
      </c>
      <c r="G102" s="11" t="n">
        <v>0.3762</v>
      </c>
      <c r="H102" s="11" t="n">
        <v>0.7382</v>
      </c>
      <c r="I102" s="11" t="n">
        <v>0.5573</v>
      </c>
    </row>
    <row r="103" customFormat="false" ht="15" hidden="false" customHeight="true" outlineLevel="0" collapsed="false">
      <c r="A103" s="3" t="s">
        <v>148</v>
      </c>
      <c r="B103" s="3" t="s">
        <v>137</v>
      </c>
      <c r="C103" s="3" t="n">
        <v>360</v>
      </c>
      <c r="D103" s="3" t="s">
        <v>48</v>
      </c>
      <c r="E103" s="3" t="n">
        <v>2.4</v>
      </c>
      <c r="F103" s="11" t="n">
        <v>0.8696</v>
      </c>
      <c r="G103" s="11" t="n">
        <v>0.3967</v>
      </c>
      <c r="H103" s="11" t="n">
        <v>0.7798</v>
      </c>
      <c r="I103" s="11" t="n">
        <v>0.593</v>
      </c>
    </row>
    <row r="104" customFormat="false" ht="15" hidden="false" customHeight="true" outlineLevel="0" collapsed="false">
      <c r="A104" s="3" t="s">
        <v>149</v>
      </c>
      <c r="B104" s="3" t="s">
        <v>137</v>
      </c>
      <c r="C104" s="3" t="n">
        <v>360</v>
      </c>
      <c r="D104" s="3" t="s">
        <v>55</v>
      </c>
      <c r="E104" s="3" t="n">
        <v>0.55</v>
      </c>
      <c r="F104" s="11" t="n">
        <v>0.9341</v>
      </c>
      <c r="G104" s="11" t="n">
        <v>0.4049</v>
      </c>
      <c r="H104" s="11" t="n">
        <v>0.8638</v>
      </c>
      <c r="I104" s="11" t="n">
        <v>0.6925</v>
      </c>
    </row>
    <row r="105" customFormat="false" ht="15" hidden="false" customHeight="true" outlineLevel="0" collapsed="false">
      <c r="A105" s="3" t="s">
        <v>150</v>
      </c>
      <c r="B105" s="3" t="s">
        <v>137</v>
      </c>
      <c r="C105" s="3" t="n">
        <v>360</v>
      </c>
      <c r="D105" s="3" t="s">
        <v>55</v>
      </c>
      <c r="E105" s="3" t="n">
        <v>0.8</v>
      </c>
      <c r="F105" s="11" t="n">
        <v>0.9341</v>
      </c>
      <c r="G105" s="11" t="n">
        <v>0.4051</v>
      </c>
      <c r="H105" s="11" t="n">
        <v>0.8638</v>
      </c>
      <c r="I105" s="11" t="n">
        <v>0.6925</v>
      </c>
    </row>
    <row r="106" customFormat="false" ht="15" hidden="false" customHeight="true" outlineLevel="0" collapsed="false">
      <c r="A106" s="3" t="s">
        <v>151</v>
      </c>
      <c r="B106" s="3" t="s">
        <v>137</v>
      </c>
      <c r="C106" s="3" t="n">
        <v>360</v>
      </c>
      <c r="D106" s="3" t="s">
        <v>55</v>
      </c>
      <c r="E106" s="3" t="n">
        <v>1</v>
      </c>
      <c r="F106" s="11" t="n">
        <v>0.9341</v>
      </c>
      <c r="G106" s="11" t="n">
        <v>0.4052</v>
      </c>
      <c r="H106" s="11" t="n">
        <v>0.8638</v>
      </c>
      <c r="I106" s="11" t="n">
        <v>0.6925</v>
      </c>
    </row>
    <row r="107" customFormat="false" ht="15" hidden="false" customHeight="true" outlineLevel="0" collapsed="false">
      <c r="A107" s="3" t="s">
        <v>152</v>
      </c>
      <c r="B107" s="3" t="s">
        <v>137</v>
      </c>
      <c r="C107" s="3" t="n">
        <v>360</v>
      </c>
      <c r="D107" s="3" t="s">
        <v>55</v>
      </c>
      <c r="E107" s="3" t="n">
        <v>1.3</v>
      </c>
      <c r="F107" s="11" t="n">
        <v>0.9341</v>
      </c>
      <c r="G107" s="11" t="n">
        <v>0.4057</v>
      </c>
      <c r="H107" s="11" t="n">
        <v>0.8643</v>
      </c>
      <c r="I107" s="11" t="n">
        <v>0.6926</v>
      </c>
    </row>
    <row r="108" customFormat="false" ht="15" hidden="false" customHeight="true" outlineLevel="0" collapsed="false">
      <c r="A108" s="3" t="s">
        <v>153</v>
      </c>
      <c r="B108" s="3" t="s">
        <v>137</v>
      </c>
      <c r="C108" s="3" t="n">
        <v>360</v>
      </c>
      <c r="D108" s="3" t="s">
        <v>55</v>
      </c>
      <c r="E108" s="3" t="n">
        <v>1.85</v>
      </c>
      <c r="F108" s="11" t="n">
        <v>0.9341</v>
      </c>
      <c r="G108" s="11" t="n">
        <v>0.4076</v>
      </c>
      <c r="H108" s="11" t="n">
        <v>0.8662</v>
      </c>
      <c r="I108" s="11" t="n">
        <v>0.6936</v>
      </c>
    </row>
    <row r="109" customFormat="false" ht="15" hidden="false" customHeight="true" outlineLevel="0" collapsed="false">
      <c r="A109" s="3" t="s">
        <v>154</v>
      </c>
      <c r="B109" s="3" t="s">
        <v>137</v>
      </c>
      <c r="C109" s="3" t="n">
        <v>360</v>
      </c>
      <c r="D109" s="3" t="s">
        <v>55</v>
      </c>
      <c r="E109" s="3" t="n">
        <v>2.4</v>
      </c>
      <c r="F109" s="11" t="n">
        <v>0.9341</v>
      </c>
      <c r="G109" s="11" t="n">
        <v>0.4094</v>
      </c>
      <c r="H109" s="11" t="n">
        <v>0.868</v>
      </c>
      <c r="I109" s="11" t="n">
        <v>0.6946</v>
      </c>
    </row>
    <row r="110" customFormat="false" ht="15" hidden="false" customHeight="true" outlineLevel="0" collapsed="false">
      <c r="A110" s="3" t="s">
        <v>155</v>
      </c>
      <c r="B110" s="3" t="s">
        <v>156</v>
      </c>
      <c r="C110" s="3" t="n">
        <v>300</v>
      </c>
      <c r="D110" s="3" t="s">
        <v>16</v>
      </c>
      <c r="E110" s="3" t="n">
        <v>0.55</v>
      </c>
      <c r="F110" s="11" t="n">
        <v>0.4321</v>
      </c>
      <c r="G110" s="11" t="n">
        <v>0.145</v>
      </c>
      <c r="H110" s="11" t="n">
        <v>0.3317</v>
      </c>
      <c r="I110" s="11" t="n">
        <v>0.2529</v>
      </c>
    </row>
    <row r="111" customFormat="false" ht="15" hidden="false" customHeight="true" outlineLevel="0" collapsed="false">
      <c r="A111" s="3" t="s">
        <v>157</v>
      </c>
      <c r="B111" s="3" t="s">
        <v>156</v>
      </c>
      <c r="C111" s="3" t="n">
        <v>300</v>
      </c>
      <c r="D111" s="3" t="s">
        <v>16</v>
      </c>
      <c r="E111" s="3" t="n">
        <v>0.8</v>
      </c>
      <c r="F111" s="11" t="n">
        <v>0.4747</v>
      </c>
      <c r="G111" s="11" t="n">
        <v>0.1637</v>
      </c>
      <c r="H111" s="11" t="n">
        <v>0.3789</v>
      </c>
      <c r="I111" s="11" t="n">
        <v>0.2898</v>
      </c>
    </row>
    <row r="112" customFormat="false" ht="15" hidden="false" customHeight="true" outlineLevel="0" collapsed="false">
      <c r="A112" s="3" t="s">
        <v>158</v>
      </c>
      <c r="B112" s="3" t="s">
        <v>156</v>
      </c>
      <c r="C112" s="3" t="n">
        <v>300</v>
      </c>
      <c r="D112" s="3" t="s">
        <v>16</v>
      </c>
      <c r="E112" s="3" t="n">
        <v>1</v>
      </c>
      <c r="F112" s="11" t="n">
        <v>0.5048</v>
      </c>
      <c r="G112" s="11" t="n">
        <v>0.1761</v>
      </c>
      <c r="H112" s="11" t="n">
        <v>0.4099</v>
      </c>
      <c r="I112" s="11" t="n">
        <v>0.3155</v>
      </c>
    </row>
    <row r="113" customFormat="false" ht="15" hidden="false" customHeight="true" outlineLevel="0" collapsed="false">
      <c r="A113" s="3" t="s">
        <v>159</v>
      </c>
      <c r="B113" s="3" t="s">
        <v>156</v>
      </c>
      <c r="C113" s="3" t="n">
        <v>300</v>
      </c>
      <c r="D113" s="3" t="s">
        <v>16</v>
      </c>
      <c r="E113" s="3" t="n">
        <v>1.3</v>
      </c>
      <c r="F113" s="11" t="n">
        <v>0.546</v>
      </c>
      <c r="G113" s="11" t="n">
        <v>0.1917</v>
      </c>
      <c r="H113" s="11" t="n">
        <v>0.4515</v>
      </c>
      <c r="I113" s="11" t="n">
        <v>0.3501</v>
      </c>
    </row>
    <row r="114" customFormat="false" ht="15" hidden="false" customHeight="true" outlineLevel="0" collapsed="false">
      <c r="A114" s="3" t="s">
        <v>160</v>
      </c>
      <c r="B114" s="3" t="s">
        <v>156</v>
      </c>
      <c r="C114" s="3" t="n">
        <v>300</v>
      </c>
      <c r="D114" s="3" t="s">
        <v>16</v>
      </c>
      <c r="E114" s="3" t="n">
        <v>1.85</v>
      </c>
      <c r="F114" s="11" t="n">
        <v>0.6098</v>
      </c>
      <c r="G114" s="11" t="n">
        <v>0.2159</v>
      </c>
      <c r="H114" s="11" t="n">
        <v>0.5169</v>
      </c>
      <c r="I114" s="11" t="n">
        <v>0.4047</v>
      </c>
    </row>
    <row r="115" customFormat="false" ht="15" hidden="false" customHeight="true" outlineLevel="0" collapsed="false">
      <c r="A115" s="3" t="s">
        <v>161</v>
      </c>
      <c r="B115" s="3" t="s">
        <v>156</v>
      </c>
      <c r="C115" s="3" t="n">
        <v>300</v>
      </c>
      <c r="D115" s="3" t="s">
        <v>16</v>
      </c>
      <c r="E115" s="3" t="n">
        <v>2.4</v>
      </c>
      <c r="F115" s="11" t="n">
        <v>0.665</v>
      </c>
      <c r="G115" s="11" t="n">
        <v>0.236</v>
      </c>
      <c r="H115" s="11" t="n">
        <v>0.5734</v>
      </c>
      <c r="I115" s="11" t="n">
        <v>0.4525</v>
      </c>
    </row>
    <row r="116" customFormat="false" ht="15" hidden="false" customHeight="true" outlineLevel="0" collapsed="false">
      <c r="A116" s="3" t="s">
        <v>162</v>
      </c>
      <c r="B116" s="3" t="s">
        <v>156</v>
      </c>
      <c r="C116" s="3" t="n">
        <v>300</v>
      </c>
      <c r="D116" s="3" t="s">
        <v>48</v>
      </c>
      <c r="E116" s="3" t="n">
        <v>0.55</v>
      </c>
      <c r="F116" s="11" t="n">
        <v>0.5636</v>
      </c>
      <c r="G116" s="11" t="n">
        <v>0.2238</v>
      </c>
      <c r="H116" s="11" t="n">
        <v>0.4445</v>
      </c>
      <c r="I116" s="11" t="n">
        <v>0.3236</v>
      </c>
    </row>
    <row r="117" customFormat="false" ht="15" hidden="false" customHeight="true" outlineLevel="0" collapsed="false">
      <c r="A117" s="3" t="s">
        <v>163</v>
      </c>
      <c r="B117" s="3" t="s">
        <v>156</v>
      </c>
      <c r="C117" s="3" t="n">
        <v>300</v>
      </c>
      <c r="D117" s="3" t="s">
        <v>48</v>
      </c>
      <c r="E117" s="3" t="n">
        <v>0.8</v>
      </c>
      <c r="F117" s="11" t="n">
        <v>0.6317</v>
      </c>
      <c r="G117" s="11" t="n">
        <v>0.2529</v>
      </c>
      <c r="H117" s="11" t="n">
        <v>0.5176</v>
      </c>
      <c r="I117" s="11" t="n">
        <v>0.3838</v>
      </c>
    </row>
    <row r="118" customFormat="false" ht="15" hidden="false" customHeight="true" outlineLevel="0" collapsed="false">
      <c r="A118" s="3" t="s">
        <v>164</v>
      </c>
      <c r="B118" s="3" t="s">
        <v>156</v>
      </c>
      <c r="C118" s="3" t="n">
        <v>300</v>
      </c>
      <c r="D118" s="3" t="s">
        <v>48</v>
      </c>
      <c r="E118" s="3" t="n">
        <v>1</v>
      </c>
      <c r="F118" s="11" t="n">
        <v>0.6744</v>
      </c>
      <c r="G118" s="11" t="n">
        <v>0.2704</v>
      </c>
      <c r="H118" s="11" t="n">
        <v>0.5617</v>
      </c>
      <c r="I118" s="11" t="n">
        <v>0.4201</v>
      </c>
    </row>
    <row r="119" customFormat="false" ht="15" hidden="false" customHeight="true" outlineLevel="0" collapsed="false">
      <c r="A119" s="3" t="s">
        <v>165</v>
      </c>
      <c r="B119" s="3" t="s">
        <v>156</v>
      </c>
      <c r="C119" s="3" t="n">
        <v>300</v>
      </c>
      <c r="D119" s="3" t="s">
        <v>48</v>
      </c>
      <c r="E119" s="3" t="n">
        <v>1.3</v>
      </c>
      <c r="F119" s="11" t="n">
        <v>0.7281</v>
      </c>
      <c r="G119" s="11" t="n">
        <v>0.2924</v>
      </c>
      <c r="H119" s="11" t="n">
        <v>0.6167</v>
      </c>
      <c r="I119" s="11" t="n">
        <v>0.4657</v>
      </c>
    </row>
    <row r="120" customFormat="false" ht="15" hidden="false" customHeight="true" outlineLevel="0" collapsed="false">
      <c r="A120" s="3" t="s">
        <v>166</v>
      </c>
      <c r="B120" s="3" t="s">
        <v>156</v>
      </c>
      <c r="C120" s="3" t="n">
        <v>300</v>
      </c>
      <c r="D120" s="3" t="s">
        <v>48</v>
      </c>
      <c r="E120" s="3" t="n">
        <v>1.85</v>
      </c>
      <c r="F120" s="11" t="n">
        <v>0.7926</v>
      </c>
      <c r="G120" s="11" t="n">
        <v>0.3195</v>
      </c>
      <c r="H120" s="11" t="n">
        <v>0.6845</v>
      </c>
      <c r="I120" s="11" t="n">
        <v>0.5224</v>
      </c>
    </row>
    <row r="121" customFormat="false" ht="15" hidden="false" customHeight="true" outlineLevel="0" collapsed="false">
      <c r="A121" s="3" t="s">
        <v>167</v>
      </c>
      <c r="B121" s="3" t="s">
        <v>156</v>
      </c>
      <c r="C121" s="3" t="n">
        <v>300</v>
      </c>
      <c r="D121" s="3" t="s">
        <v>48</v>
      </c>
      <c r="E121" s="3" t="n">
        <v>2.4</v>
      </c>
      <c r="F121" s="11" t="n">
        <v>0.8296</v>
      </c>
      <c r="G121" s="11" t="n">
        <v>0.3382</v>
      </c>
      <c r="H121" s="11" t="n">
        <v>0.7253</v>
      </c>
      <c r="I121" s="11" t="n">
        <v>0.5556</v>
      </c>
    </row>
    <row r="122" customFormat="false" ht="15" hidden="false" customHeight="true" outlineLevel="0" collapsed="false">
      <c r="A122" s="3" t="s">
        <v>168</v>
      </c>
      <c r="B122" s="3" t="s">
        <v>156</v>
      </c>
      <c r="C122" s="3" t="n">
        <v>300</v>
      </c>
      <c r="D122" s="3" t="s">
        <v>55</v>
      </c>
      <c r="E122" s="3" t="n">
        <v>0.55</v>
      </c>
      <c r="F122" s="11" t="n">
        <v>0.8957</v>
      </c>
      <c r="G122" s="11" t="n">
        <v>0.3363</v>
      </c>
      <c r="H122" s="11" t="n">
        <v>0.8082</v>
      </c>
      <c r="I122" s="11" t="n">
        <v>0.6523</v>
      </c>
    </row>
    <row r="123" customFormat="false" ht="15" hidden="false" customHeight="true" outlineLevel="0" collapsed="false">
      <c r="A123" s="3" t="s">
        <v>169</v>
      </c>
      <c r="B123" s="3" t="s">
        <v>156</v>
      </c>
      <c r="C123" s="3" t="n">
        <v>300</v>
      </c>
      <c r="D123" s="3" t="s">
        <v>55</v>
      </c>
      <c r="E123" s="3" t="n">
        <v>0.8</v>
      </c>
      <c r="F123" s="11" t="n">
        <v>0.8957</v>
      </c>
      <c r="G123" s="11" t="n">
        <v>0.3363</v>
      </c>
      <c r="H123" s="11" t="n">
        <v>0.8082</v>
      </c>
      <c r="I123" s="11" t="n">
        <v>0.6523</v>
      </c>
    </row>
    <row r="124" customFormat="false" ht="15" hidden="false" customHeight="true" outlineLevel="0" collapsed="false">
      <c r="A124" s="3" t="s">
        <v>170</v>
      </c>
      <c r="B124" s="3" t="s">
        <v>156</v>
      </c>
      <c r="C124" s="3" t="n">
        <v>300</v>
      </c>
      <c r="D124" s="3" t="s">
        <v>55</v>
      </c>
      <c r="E124" s="3" t="n">
        <v>1</v>
      </c>
      <c r="F124" s="11" t="n">
        <v>0.8957</v>
      </c>
      <c r="G124" s="11" t="n">
        <v>0.3363</v>
      </c>
      <c r="H124" s="11" t="n">
        <v>0.8082</v>
      </c>
      <c r="I124" s="11" t="n">
        <v>0.6523</v>
      </c>
    </row>
    <row r="125" customFormat="false" ht="15" hidden="false" customHeight="true" outlineLevel="0" collapsed="false">
      <c r="A125" s="3" t="s">
        <v>171</v>
      </c>
      <c r="B125" s="3" t="s">
        <v>156</v>
      </c>
      <c r="C125" s="3" t="n">
        <v>300</v>
      </c>
      <c r="D125" s="3" t="s">
        <v>55</v>
      </c>
      <c r="E125" s="3" t="n">
        <v>1.3</v>
      </c>
      <c r="F125" s="11" t="n">
        <v>0.8957</v>
      </c>
      <c r="G125" s="11" t="n">
        <v>0.337</v>
      </c>
      <c r="H125" s="11" t="n">
        <v>0.8087</v>
      </c>
      <c r="I125" s="11" t="n">
        <v>0.6526</v>
      </c>
    </row>
    <row r="126" customFormat="false" ht="15" hidden="false" customHeight="true" outlineLevel="0" collapsed="false">
      <c r="A126" s="3" t="s">
        <v>172</v>
      </c>
      <c r="B126" s="3" t="s">
        <v>156</v>
      </c>
      <c r="C126" s="3" t="n">
        <v>300</v>
      </c>
      <c r="D126" s="3" t="s">
        <v>55</v>
      </c>
      <c r="E126" s="3" t="n">
        <v>1.85</v>
      </c>
      <c r="F126" s="11" t="n">
        <v>0.8957</v>
      </c>
      <c r="G126" s="11" t="n">
        <v>0.3389</v>
      </c>
      <c r="H126" s="11" t="n">
        <v>0.8111</v>
      </c>
      <c r="I126" s="11" t="n">
        <v>0.6538</v>
      </c>
    </row>
    <row r="127" customFormat="false" ht="15" hidden="false" customHeight="true" outlineLevel="0" collapsed="false">
      <c r="A127" s="3" t="s">
        <v>173</v>
      </c>
      <c r="B127" s="3" t="s">
        <v>156</v>
      </c>
      <c r="C127" s="3" t="n">
        <v>300</v>
      </c>
      <c r="D127" s="3" t="s">
        <v>55</v>
      </c>
      <c r="E127" s="3" t="n">
        <v>2.4</v>
      </c>
      <c r="F127" s="11" t="n">
        <v>0.8957</v>
      </c>
      <c r="G127" s="11" t="n">
        <v>0.3412</v>
      </c>
      <c r="H127" s="11" t="n">
        <v>0.8135</v>
      </c>
      <c r="I127" s="11" t="n">
        <v>0.655</v>
      </c>
    </row>
    <row r="128" customFormat="false" ht="15" hidden="false" customHeight="true" outlineLevel="0" collapsed="false">
      <c r="A128" s="3" t="s">
        <v>174</v>
      </c>
      <c r="B128" s="3" t="s">
        <v>175</v>
      </c>
      <c r="C128" s="3" t="n">
        <v>240</v>
      </c>
      <c r="D128" s="3" t="s">
        <v>16</v>
      </c>
      <c r="E128" s="3" t="n">
        <v>0.55</v>
      </c>
      <c r="F128" s="11" t="n">
        <v>0.3313</v>
      </c>
      <c r="G128" s="11" t="n">
        <v>0.0936</v>
      </c>
      <c r="H128" s="11" t="n">
        <v>0.2378</v>
      </c>
      <c r="I128" s="11" t="n">
        <v>0.1834</v>
      </c>
    </row>
    <row r="129" customFormat="false" ht="15" hidden="false" customHeight="true" outlineLevel="0" collapsed="false">
      <c r="A129" s="3" t="s">
        <v>176</v>
      </c>
      <c r="B129" s="3" t="s">
        <v>175</v>
      </c>
      <c r="C129" s="3" t="n">
        <v>240</v>
      </c>
      <c r="D129" s="3" t="s">
        <v>16</v>
      </c>
      <c r="E129" s="3" t="n">
        <v>0.8</v>
      </c>
      <c r="F129" s="11" t="n">
        <v>0.3591</v>
      </c>
      <c r="G129" s="11" t="n">
        <v>0.106</v>
      </c>
      <c r="H129" s="11" t="n">
        <v>0.269</v>
      </c>
      <c r="I129" s="11" t="n">
        <v>0.2074</v>
      </c>
    </row>
    <row r="130" customFormat="false" ht="15" hidden="false" customHeight="true" outlineLevel="0" collapsed="false">
      <c r="A130" s="3" t="s">
        <v>177</v>
      </c>
      <c r="B130" s="3" t="s">
        <v>175</v>
      </c>
      <c r="C130" s="3" t="n">
        <v>240</v>
      </c>
      <c r="D130" s="3" t="s">
        <v>16</v>
      </c>
      <c r="E130" s="3" t="n">
        <v>1</v>
      </c>
      <c r="F130" s="11" t="n">
        <v>0.3796</v>
      </c>
      <c r="G130" s="11" t="n">
        <v>0.1137</v>
      </c>
      <c r="H130" s="11" t="n">
        <v>0.2904</v>
      </c>
      <c r="I130" s="11" t="n">
        <v>0.2246</v>
      </c>
    </row>
    <row r="131" customFormat="false" ht="15" hidden="false" customHeight="true" outlineLevel="0" collapsed="false">
      <c r="A131" s="3" t="s">
        <v>178</v>
      </c>
      <c r="B131" s="3" t="s">
        <v>175</v>
      </c>
      <c r="C131" s="3" t="n">
        <v>240</v>
      </c>
      <c r="D131" s="3" t="s">
        <v>16</v>
      </c>
      <c r="E131" s="3" t="n">
        <v>1.3</v>
      </c>
      <c r="F131" s="11" t="n">
        <v>0.4076</v>
      </c>
      <c r="G131" s="11" t="n">
        <v>0.124</v>
      </c>
      <c r="H131" s="11" t="n">
        <v>0.3186</v>
      </c>
      <c r="I131" s="11" t="n">
        <v>0.2479</v>
      </c>
    </row>
    <row r="132" customFormat="false" ht="15" hidden="false" customHeight="true" outlineLevel="0" collapsed="false">
      <c r="A132" s="3" t="s">
        <v>179</v>
      </c>
      <c r="B132" s="3" t="s">
        <v>175</v>
      </c>
      <c r="C132" s="3" t="n">
        <v>240</v>
      </c>
      <c r="D132" s="3" t="s">
        <v>16</v>
      </c>
      <c r="E132" s="3" t="n">
        <v>1.85</v>
      </c>
      <c r="F132" s="11" t="n">
        <v>0.4552</v>
      </c>
      <c r="G132" s="11" t="n">
        <v>0.1399</v>
      </c>
      <c r="H132" s="11" t="n">
        <v>0.3658</v>
      </c>
      <c r="I132" s="11" t="n">
        <v>0.2872</v>
      </c>
    </row>
    <row r="133" customFormat="false" ht="15" hidden="false" customHeight="true" outlineLevel="0" collapsed="false">
      <c r="A133" s="3" t="s">
        <v>180</v>
      </c>
      <c r="B133" s="3" t="s">
        <v>175</v>
      </c>
      <c r="C133" s="3" t="n">
        <v>240</v>
      </c>
      <c r="D133" s="3" t="s">
        <v>16</v>
      </c>
      <c r="E133" s="3" t="n">
        <v>2.4</v>
      </c>
      <c r="F133" s="11" t="n">
        <v>0.4974</v>
      </c>
      <c r="G133" s="11" t="n">
        <v>0.1538</v>
      </c>
      <c r="H133" s="11" t="n">
        <v>0.4078</v>
      </c>
      <c r="I133" s="11" t="n">
        <v>0.3222</v>
      </c>
    </row>
    <row r="134" customFormat="false" ht="15" hidden="false" customHeight="true" outlineLevel="0" collapsed="false">
      <c r="A134" s="3" t="s">
        <v>181</v>
      </c>
      <c r="B134" s="3" t="s">
        <v>175</v>
      </c>
      <c r="C134" s="3" t="n">
        <v>240</v>
      </c>
      <c r="D134" s="3" t="s">
        <v>48</v>
      </c>
      <c r="E134" s="3" t="n">
        <v>0.55</v>
      </c>
      <c r="F134" s="11" t="n">
        <v>0.4571</v>
      </c>
      <c r="G134" s="11" t="n">
        <v>0.1587</v>
      </c>
      <c r="H134" s="11" t="n">
        <v>0.3338</v>
      </c>
      <c r="I134" s="11" t="n">
        <v>0.2409</v>
      </c>
    </row>
    <row r="135" customFormat="false" ht="15" hidden="false" customHeight="true" outlineLevel="0" collapsed="false">
      <c r="A135" s="3" t="s">
        <v>182</v>
      </c>
      <c r="B135" s="3" t="s">
        <v>175</v>
      </c>
      <c r="C135" s="3" t="n">
        <v>240</v>
      </c>
      <c r="D135" s="3" t="s">
        <v>48</v>
      </c>
      <c r="E135" s="3" t="n">
        <v>0.8</v>
      </c>
      <c r="F135" s="11" t="n">
        <v>0.5142</v>
      </c>
      <c r="G135" s="11" t="n">
        <v>0.1822</v>
      </c>
      <c r="H135" s="11" t="n">
        <v>0.3951</v>
      </c>
      <c r="I135" s="11" t="n">
        <v>0.2902</v>
      </c>
    </row>
    <row r="136" customFormat="false" ht="15" hidden="false" customHeight="true" outlineLevel="0" collapsed="false">
      <c r="A136" s="3" t="s">
        <v>183</v>
      </c>
      <c r="B136" s="3" t="s">
        <v>175</v>
      </c>
      <c r="C136" s="3" t="n">
        <v>240</v>
      </c>
      <c r="D136" s="3" t="s">
        <v>48</v>
      </c>
      <c r="E136" s="3" t="n">
        <v>1</v>
      </c>
      <c r="F136" s="11" t="n">
        <v>0.5505</v>
      </c>
      <c r="G136" s="11" t="n">
        <v>0.1957</v>
      </c>
      <c r="H136" s="11" t="n">
        <v>0.4321</v>
      </c>
      <c r="I136" s="11" t="n">
        <v>0.3204</v>
      </c>
    </row>
    <row r="137" customFormat="false" ht="15" hidden="false" customHeight="true" outlineLevel="0" collapsed="false">
      <c r="A137" s="3" t="s">
        <v>184</v>
      </c>
      <c r="B137" s="3" t="s">
        <v>175</v>
      </c>
      <c r="C137" s="3" t="n">
        <v>240</v>
      </c>
      <c r="D137" s="3" t="s">
        <v>48</v>
      </c>
      <c r="E137" s="3" t="n">
        <v>1.3</v>
      </c>
      <c r="F137" s="11" t="n">
        <v>0.5992</v>
      </c>
      <c r="G137" s="11" t="n">
        <v>0.2135</v>
      </c>
      <c r="H137" s="11" t="n">
        <v>0.481</v>
      </c>
      <c r="I137" s="11" t="n">
        <v>0.36</v>
      </c>
    </row>
    <row r="138" customFormat="false" ht="15" hidden="false" customHeight="true" outlineLevel="0" collapsed="false">
      <c r="A138" s="3" t="s">
        <v>185</v>
      </c>
      <c r="B138" s="3" t="s">
        <v>175</v>
      </c>
      <c r="C138" s="3" t="n">
        <v>240</v>
      </c>
      <c r="D138" s="3" t="s">
        <v>48</v>
      </c>
      <c r="E138" s="3" t="n">
        <v>1.85</v>
      </c>
      <c r="F138" s="11" t="n">
        <v>0.6673</v>
      </c>
      <c r="G138" s="11" t="n">
        <v>0.2376</v>
      </c>
      <c r="H138" s="11" t="n">
        <v>0.5483</v>
      </c>
      <c r="I138" s="11" t="n">
        <v>0.4155</v>
      </c>
    </row>
    <row r="139" customFormat="false" ht="15" hidden="false" customHeight="true" outlineLevel="0" collapsed="false">
      <c r="A139" s="3" t="s">
        <v>186</v>
      </c>
      <c r="B139" s="3" t="s">
        <v>175</v>
      </c>
      <c r="C139" s="3" t="n">
        <v>240</v>
      </c>
      <c r="D139" s="3" t="s">
        <v>48</v>
      </c>
      <c r="E139" s="3" t="n">
        <v>2.4</v>
      </c>
      <c r="F139" s="11" t="n">
        <v>0.7157</v>
      </c>
      <c r="G139" s="11" t="n">
        <v>0.2556</v>
      </c>
      <c r="H139" s="11" t="n">
        <v>0.5977</v>
      </c>
      <c r="I139" s="11" t="n">
        <v>0.4564</v>
      </c>
    </row>
    <row r="140" customFormat="false" ht="15" hidden="false" customHeight="true" outlineLevel="0" collapsed="false">
      <c r="A140" s="3" t="s">
        <v>187</v>
      </c>
      <c r="B140" s="3" t="s">
        <v>175</v>
      </c>
      <c r="C140" s="3" t="n">
        <v>240</v>
      </c>
      <c r="D140" s="3" t="s">
        <v>55</v>
      </c>
      <c r="E140" s="3" t="n">
        <v>0.55</v>
      </c>
      <c r="F140" s="11" t="n">
        <v>0.8362</v>
      </c>
      <c r="G140" s="11" t="n">
        <v>0.2603</v>
      </c>
      <c r="H140" s="11" t="n">
        <v>0.7305</v>
      </c>
      <c r="I140" s="11" t="n">
        <v>0.5981</v>
      </c>
    </row>
    <row r="141" customFormat="false" ht="15" hidden="false" customHeight="true" outlineLevel="0" collapsed="false">
      <c r="A141" s="3" t="s">
        <v>188</v>
      </c>
      <c r="B141" s="3" t="s">
        <v>175</v>
      </c>
      <c r="C141" s="3" t="n">
        <v>240</v>
      </c>
      <c r="D141" s="3" t="s">
        <v>55</v>
      </c>
      <c r="E141" s="3" t="n">
        <v>0.8</v>
      </c>
      <c r="F141" s="11" t="n">
        <v>0.8362</v>
      </c>
      <c r="G141" s="11" t="n">
        <v>0.2603</v>
      </c>
      <c r="H141" s="11" t="n">
        <v>0.7305</v>
      </c>
      <c r="I141" s="11" t="n">
        <v>0.5981</v>
      </c>
    </row>
    <row r="142" customFormat="false" ht="15" hidden="false" customHeight="true" outlineLevel="0" collapsed="false">
      <c r="A142" s="3" t="s">
        <v>189</v>
      </c>
      <c r="B142" s="3" t="s">
        <v>175</v>
      </c>
      <c r="C142" s="3" t="n">
        <v>240</v>
      </c>
      <c r="D142" s="3" t="s">
        <v>55</v>
      </c>
      <c r="E142" s="3" t="n">
        <v>1</v>
      </c>
      <c r="F142" s="11" t="n">
        <v>0.8362</v>
      </c>
      <c r="G142" s="11" t="n">
        <v>0.2603</v>
      </c>
      <c r="H142" s="11" t="n">
        <v>0.7305</v>
      </c>
      <c r="I142" s="11" t="n">
        <v>0.5981</v>
      </c>
    </row>
    <row r="143" customFormat="false" ht="15" hidden="false" customHeight="true" outlineLevel="0" collapsed="false">
      <c r="A143" s="3" t="s">
        <v>190</v>
      </c>
      <c r="B143" s="3" t="s">
        <v>175</v>
      </c>
      <c r="C143" s="3" t="n">
        <v>240</v>
      </c>
      <c r="D143" s="3" t="s">
        <v>55</v>
      </c>
      <c r="E143" s="3" t="n">
        <v>1.3</v>
      </c>
      <c r="F143" s="11" t="n">
        <v>0.8362</v>
      </c>
      <c r="G143" s="11" t="n">
        <v>0.261</v>
      </c>
      <c r="H143" s="11" t="n">
        <v>0.7312</v>
      </c>
      <c r="I143" s="11" t="n">
        <v>0.5984</v>
      </c>
    </row>
    <row r="144" customFormat="false" ht="15" hidden="false" customHeight="true" outlineLevel="0" collapsed="false">
      <c r="A144" s="3" t="s">
        <v>191</v>
      </c>
      <c r="B144" s="3" t="s">
        <v>175</v>
      </c>
      <c r="C144" s="3" t="n">
        <v>240</v>
      </c>
      <c r="D144" s="3" t="s">
        <v>55</v>
      </c>
      <c r="E144" s="3" t="n">
        <v>1.85</v>
      </c>
      <c r="F144" s="11" t="n">
        <v>0.8362</v>
      </c>
      <c r="G144" s="11" t="n">
        <v>0.2636</v>
      </c>
      <c r="H144" s="11" t="n">
        <v>0.7342</v>
      </c>
      <c r="I144" s="11" t="n">
        <v>0.5998</v>
      </c>
    </row>
    <row r="145" customFormat="false" ht="15" hidden="false" customHeight="true" outlineLevel="0" collapsed="false">
      <c r="A145" s="3" t="s">
        <v>192</v>
      </c>
      <c r="B145" s="3" t="s">
        <v>175</v>
      </c>
      <c r="C145" s="3" t="n">
        <v>240</v>
      </c>
      <c r="D145" s="3" t="s">
        <v>55</v>
      </c>
      <c r="E145" s="3" t="n">
        <v>2.4</v>
      </c>
      <c r="F145" s="11" t="n">
        <v>0.8362</v>
      </c>
      <c r="G145" s="11" t="n">
        <v>0.2664</v>
      </c>
      <c r="H145" s="11" t="n">
        <v>0.7373</v>
      </c>
      <c r="I145" s="11" t="n">
        <v>0.6012</v>
      </c>
    </row>
    <row r="146" customFormat="false" ht="15" hidden="false" customHeight="true" outlineLevel="0" collapsed="false">
      <c r="A146" s="3" t="s">
        <v>193</v>
      </c>
      <c r="B146" s="3" t="s">
        <v>194</v>
      </c>
      <c r="C146" s="3" t="n">
        <v>180</v>
      </c>
      <c r="D146" s="3" t="s">
        <v>16</v>
      </c>
      <c r="E146" s="3" t="n">
        <v>0.55</v>
      </c>
      <c r="F146" s="11" t="n">
        <v>0.2322</v>
      </c>
      <c r="G146" s="11" t="n">
        <v>0.0498</v>
      </c>
      <c r="H146" s="11" t="n">
        <v>0.151</v>
      </c>
      <c r="I146" s="11" t="n">
        <v>0.1223</v>
      </c>
    </row>
    <row r="147" customFormat="false" ht="15" hidden="false" customHeight="true" outlineLevel="0" collapsed="false">
      <c r="A147" s="3" t="s">
        <v>195</v>
      </c>
      <c r="B147" s="3" t="s">
        <v>194</v>
      </c>
      <c r="C147" s="3" t="n">
        <v>180</v>
      </c>
      <c r="D147" s="3" t="s">
        <v>16</v>
      </c>
      <c r="E147" s="3" t="n">
        <v>0.8</v>
      </c>
      <c r="F147" s="11" t="n">
        <v>0.2427</v>
      </c>
      <c r="G147" s="11" t="n">
        <v>0.0562</v>
      </c>
      <c r="H147" s="11" t="n">
        <v>0.1643</v>
      </c>
      <c r="I147" s="11" t="n">
        <v>0.1311</v>
      </c>
    </row>
    <row r="148" customFormat="false" ht="15" hidden="false" customHeight="true" outlineLevel="0" collapsed="false">
      <c r="A148" s="3" t="s">
        <v>196</v>
      </c>
      <c r="B148" s="3" t="s">
        <v>194</v>
      </c>
      <c r="C148" s="3" t="n">
        <v>180</v>
      </c>
      <c r="D148" s="3" t="s">
        <v>16</v>
      </c>
      <c r="E148" s="3" t="n">
        <v>1</v>
      </c>
      <c r="F148" s="11" t="n">
        <v>0.2501</v>
      </c>
      <c r="G148" s="11" t="n">
        <v>0.0598</v>
      </c>
      <c r="H148" s="11" t="n">
        <v>0.1726</v>
      </c>
      <c r="I148" s="11" t="n">
        <v>0.1372</v>
      </c>
    </row>
    <row r="149" customFormat="false" ht="15" hidden="false" customHeight="true" outlineLevel="0" collapsed="false">
      <c r="A149" s="3" t="s">
        <v>197</v>
      </c>
      <c r="B149" s="3" t="s">
        <v>194</v>
      </c>
      <c r="C149" s="3" t="n">
        <v>180</v>
      </c>
      <c r="D149" s="3" t="s">
        <v>16</v>
      </c>
      <c r="E149" s="3" t="n">
        <v>1.3</v>
      </c>
      <c r="F149" s="11" t="n">
        <v>0.2616</v>
      </c>
      <c r="G149" s="11" t="n">
        <v>0.0648</v>
      </c>
      <c r="H149" s="11" t="n">
        <v>0.1854</v>
      </c>
      <c r="I149" s="11" t="n">
        <v>0.1467</v>
      </c>
    </row>
    <row r="150" customFormat="false" ht="15" hidden="false" customHeight="true" outlineLevel="0" collapsed="false">
      <c r="A150" s="3" t="s">
        <v>198</v>
      </c>
      <c r="B150" s="3" t="s">
        <v>194</v>
      </c>
      <c r="C150" s="3" t="n">
        <v>180</v>
      </c>
      <c r="D150" s="3" t="s">
        <v>16</v>
      </c>
      <c r="E150" s="3" t="n">
        <v>1.85</v>
      </c>
      <c r="F150" s="11" t="n">
        <v>0.282</v>
      </c>
      <c r="G150" s="11" t="n">
        <v>0.0718</v>
      </c>
      <c r="H150" s="11" t="n">
        <v>0.2064</v>
      </c>
      <c r="I150" s="11" t="n">
        <v>0.1634</v>
      </c>
    </row>
    <row r="151" customFormat="false" ht="15" hidden="false" customHeight="true" outlineLevel="0" collapsed="false">
      <c r="A151" s="3" t="s">
        <v>199</v>
      </c>
      <c r="B151" s="3" t="s">
        <v>194</v>
      </c>
      <c r="C151" s="3" t="n">
        <v>180</v>
      </c>
      <c r="D151" s="3" t="s">
        <v>16</v>
      </c>
      <c r="E151" s="3" t="n">
        <v>2.4</v>
      </c>
      <c r="F151" s="11" t="n">
        <v>0.3018</v>
      </c>
      <c r="G151" s="11" t="n">
        <v>0.0778</v>
      </c>
      <c r="H151" s="11" t="n">
        <v>0.2255</v>
      </c>
      <c r="I151" s="11" t="n">
        <v>0.1794</v>
      </c>
    </row>
    <row r="152" customFormat="false" ht="15" hidden="false" customHeight="true" outlineLevel="0" collapsed="false">
      <c r="A152" s="3" t="s">
        <v>200</v>
      </c>
      <c r="B152" s="3" t="s">
        <v>194</v>
      </c>
      <c r="C152" s="3" t="n">
        <v>180</v>
      </c>
      <c r="D152" s="3" t="s">
        <v>48</v>
      </c>
      <c r="E152" s="3" t="n">
        <v>0.55</v>
      </c>
      <c r="F152" s="11" t="n">
        <v>0.3115</v>
      </c>
      <c r="G152" s="11" t="n">
        <v>0.0899</v>
      </c>
      <c r="H152" s="11" t="n">
        <v>0.1932</v>
      </c>
      <c r="I152" s="11" t="n">
        <v>0.1379</v>
      </c>
    </row>
    <row r="153" customFormat="false" ht="15" hidden="false" customHeight="true" outlineLevel="0" collapsed="false">
      <c r="A153" s="3" t="s">
        <v>201</v>
      </c>
      <c r="B153" s="3" t="s">
        <v>194</v>
      </c>
      <c r="C153" s="3" t="n">
        <v>180</v>
      </c>
      <c r="D153" s="3" t="s">
        <v>48</v>
      </c>
      <c r="E153" s="3" t="n">
        <v>0.8</v>
      </c>
      <c r="F153" s="11" t="n">
        <v>0.3378</v>
      </c>
      <c r="G153" s="11" t="n">
        <v>0.1036</v>
      </c>
      <c r="H153" s="11" t="n">
        <v>0.224</v>
      </c>
      <c r="I153" s="11" t="n">
        <v>0.1597</v>
      </c>
    </row>
    <row r="154" customFormat="false" ht="15" hidden="false" customHeight="true" outlineLevel="0" collapsed="false">
      <c r="A154" s="3" t="s">
        <v>202</v>
      </c>
      <c r="B154" s="3" t="s">
        <v>194</v>
      </c>
      <c r="C154" s="3" t="n">
        <v>180</v>
      </c>
      <c r="D154" s="3" t="s">
        <v>48</v>
      </c>
      <c r="E154" s="3" t="n">
        <v>1</v>
      </c>
      <c r="F154" s="11" t="n">
        <v>0.3585</v>
      </c>
      <c r="G154" s="11" t="n">
        <v>0.1106</v>
      </c>
      <c r="H154" s="11" t="n">
        <v>0.245</v>
      </c>
      <c r="I154" s="11" t="n">
        <v>0.1763</v>
      </c>
    </row>
    <row r="155" customFormat="false" ht="15" hidden="false" customHeight="true" outlineLevel="0" collapsed="false">
      <c r="A155" s="3" t="s">
        <v>203</v>
      </c>
      <c r="B155" s="3" t="s">
        <v>194</v>
      </c>
      <c r="C155" s="3" t="n">
        <v>180</v>
      </c>
      <c r="D155" s="3" t="s">
        <v>48</v>
      </c>
      <c r="E155" s="3" t="n">
        <v>1.3</v>
      </c>
      <c r="F155" s="11" t="n">
        <v>0.3881</v>
      </c>
      <c r="G155" s="11" t="n">
        <v>0.1204</v>
      </c>
      <c r="H155" s="11" t="n">
        <v>0.2747</v>
      </c>
      <c r="I155" s="11" t="n">
        <v>0.2003</v>
      </c>
    </row>
    <row r="156" customFormat="false" ht="15" hidden="false" customHeight="true" outlineLevel="0" collapsed="false">
      <c r="A156" s="3" t="s">
        <v>204</v>
      </c>
      <c r="B156" s="3" t="s">
        <v>194</v>
      </c>
      <c r="C156" s="3" t="n">
        <v>180</v>
      </c>
      <c r="D156" s="3" t="s">
        <v>48</v>
      </c>
      <c r="E156" s="3" t="n">
        <v>1.85</v>
      </c>
      <c r="F156" s="11" t="n">
        <v>0.4353</v>
      </c>
      <c r="G156" s="11" t="n">
        <v>0.1357</v>
      </c>
      <c r="H156" s="11" t="n">
        <v>0.3215</v>
      </c>
      <c r="I156" s="11" t="n">
        <v>0.2384</v>
      </c>
    </row>
    <row r="157" customFormat="false" ht="15" hidden="false" customHeight="true" outlineLevel="0" collapsed="false">
      <c r="A157" s="3" t="s">
        <v>205</v>
      </c>
      <c r="B157" s="3" t="s">
        <v>194</v>
      </c>
      <c r="C157" s="3" t="n">
        <v>180</v>
      </c>
      <c r="D157" s="3" t="s">
        <v>48</v>
      </c>
      <c r="E157" s="3" t="n">
        <v>2.4</v>
      </c>
      <c r="F157" s="11" t="n">
        <v>0.4762</v>
      </c>
      <c r="G157" s="11" t="n">
        <v>0.1479</v>
      </c>
      <c r="H157" s="11" t="n">
        <v>0.3609</v>
      </c>
      <c r="I157" s="11" t="n">
        <v>0.2709</v>
      </c>
    </row>
    <row r="158" customFormat="false" ht="15" hidden="false" customHeight="true" outlineLevel="0" collapsed="false">
      <c r="A158" s="3" t="s">
        <v>206</v>
      </c>
      <c r="B158" s="3" t="s">
        <v>194</v>
      </c>
      <c r="C158" s="3" t="n">
        <v>180</v>
      </c>
      <c r="D158" s="3" t="s">
        <v>55</v>
      </c>
      <c r="E158" s="3" t="n">
        <v>0.55</v>
      </c>
      <c r="F158" s="11" t="n">
        <v>0.7444</v>
      </c>
      <c r="G158" s="11" t="n">
        <v>0.1781</v>
      </c>
      <c r="H158" s="11" t="n">
        <v>0.6253</v>
      </c>
      <c r="I158" s="11" t="n">
        <v>0.5286</v>
      </c>
    </row>
    <row r="159" customFormat="false" ht="15" hidden="false" customHeight="true" outlineLevel="0" collapsed="false">
      <c r="A159" s="3" t="s">
        <v>207</v>
      </c>
      <c r="B159" s="3" t="s">
        <v>194</v>
      </c>
      <c r="C159" s="3" t="n">
        <v>180</v>
      </c>
      <c r="D159" s="3" t="s">
        <v>55</v>
      </c>
      <c r="E159" s="3" t="n">
        <v>0.8</v>
      </c>
      <c r="F159" s="11" t="n">
        <v>0.7444</v>
      </c>
      <c r="G159" s="11" t="n">
        <v>0.1781</v>
      </c>
      <c r="H159" s="11" t="n">
        <v>0.6253</v>
      </c>
      <c r="I159" s="11" t="n">
        <v>0.5286</v>
      </c>
    </row>
    <row r="160" customFormat="false" ht="15" hidden="false" customHeight="true" outlineLevel="0" collapsed="false">
      <c r="A160" s="3" t="s">
        <v>208</v>
      </c>
      <c r="B160" s="3" t="s">
        <v>194</v>
      </c>
      <c r="C160" s="3" t="n">
        <v>180</v>
      </c>
      <c r="D160" s="3" t="s">
        <v>55</v>
      </c>
      <c r="E160" s="3" t="n">
        <v>1</v>
      </c>
      <c r="F160" s="11" t="n">
        <v>0.7444</v>
      </c>
      <c r="G160" s="11" t="n">
        <v>0.1781</v>
      </c>
      <c r="H160" s="11" t="n">
        <v>0.6253</v>
      </c>
      <c r="I160" s="11" t="n">
        <v>0.5286</v>
      </c>
    </row>
    <row r="161" customFormat="false" ht="15" hidden="false" customHeight="true" outlineLevel="0" collapsed="false">
      <c r="A161" s="3" t="s">
        <v>209</v>
      </c>
      <c r="B161" s="3" t="s">
        <v>194</v>
      </c>
      <c r="C161" s="3" t="n">
        <v>180</v>
      </c>
      <c r="D161" s="3" t="s">
        <v>55</v>
      </c>
      <c r="E161" s="3" t="n">
        <v>1.3</v>
      </c>
      <c r="F161" s="11" t="n">
        <v>0.7444</v>
      </c>
      <c r="G161" s="11" t="n">
        <v>0.1789</v>
      </c>
      <c r="H161" s="11" t="n">
        <v>0.6262</v>
      </c>
      <c r="I161" s="11" t="n">
        <v>0.5291</v>
      </c>
    </row>
    <row r="162" customFormat="false" ht="15" hidden="false" customHeight="true" outlineLevel="0" collapsed="false">
      <c r="A162" s="3" t="s">
        <v>210</v>
      </c>
      <c r="B162" s="3" t="s">
        <v>194</v>
      </c>
      <c r="C162" s="3" t="n">
        <v>180</v>
      </c>
      <c r="D162" s="3" t="s">
        <v>55</v>
      </c>
      <c r="E162" s="3" t="n">
        <v>1.85</v>
      </c>
      <c r="F162" s="11" t="n">
        <v>0.7444</v>
      </c>
      <c r="G162" s="11" t="n">
        <v>0.1827</v>
      </c>
      <c r="H162" s="11" t="n">
        <v>0.6301</v>
      </c>
      <c r="I162" s="11" t="n">
        <v>0.53</v>
      </c>
    </row>
    <row r="163" customFormat="false" ht="15" hidden="false" customHeight="true" outlineLevel="0" collapsed="false">
      <c r="A163" s="3" t="s">
        <v>211</v>
      </c>
      <c r="B163" s="3" t="s">
        <v>194</v>
      </c>
      <c r="C163" s="3" t="n">
        <v>180</v>
      </c>
      <c r="D163" s="3" t="s">
        <v>55</v>
      </c>
      <c r="E163" s="3" t="n">
        <v>2.4</v>
      </c>
      <c r="F163" s="11" t="n">
        <v>0.7444</v>
      </c>
      <c r="G163" s="11" t="n">
        <v>0.1856</v>
      </c>
      <c r="H163" s="11" t="n">
        <v>0.6329</v>
      </c>
      <c r="I163" s="11" t="n">
        <v>0.5311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7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22"/>
    <col collapsed="false" customWidth="true" hidden="false" outlineLevel="0" max="6" min="6" style="0" width="58"/>
  </cols>
  <sheetData>
    <row r="1" customFormat="false" ht="15" hidden="false" customHeight="true" outlineLevel="0" collapsed="false">
      <c r="A1" s="10" t="s">
        <v>212</v>
      </c>
      <c r="B1" s="10" t="s">
        <v>213</v>
      </c>
      <c r="C1" s="10" t="s">
        <v>214</v>
      </c>
      <c r="D1" s="10" t="s">
        <v>215</v>
      </c>
      <c r="E1" s="10" t="s">
        <v>216</v>
      </c>
    </row>
    <row r="2" customFormat="false" ht="15" hidden="false" customHeight="true" outlineLevel="0" collapsed="false">
      <c r="A2" s="3" t="s">
        <v>217</v>
      </c>
      <c r="B2" s="3" t="n">
        <v>12</v>
      </c>
      <c r="C2" s="3" t="n">
        <v>4.5</v>
      </c>
      <c r="D2" s="3" t="n">
        <v>2.154</v>
      </c>
      <c r="E2" s="2" t="n">
        <v>1.41</v>
      </c>
    </row>
    <row r="3" customFormat="false" ht="15" hidden="false" customHeight="true" outlineLevel="0" collapsed="false">
      <c r="A3" s="3" t="s">
        <v>218</v>
      </c>
      <c r="B3" s="3" t="n">
        <v>8</v>
      </c>
      <c r="C3" s="3" t="n">
        <v>2.69</v>
      </c>
      <c r="D3" s="3" t="n">
        <v>2.132</v>
      </c>
      <c r="E3" s="2" t="n">
        <v>1.4</v>
      </c>
    </row>
    <row r="4" customFormat="false" ht="15" hidden="false" customHeight="true" outlineLevel="0" collapsed="false">
      <c r="A4" s="3" t="s">
        <v>219</v>
      </c>
      <c r="B4" s="3" t="n">
        <v>11</v>
      </c>
      <c r="C4" s="3" t="n">
        <v>6.51</v>
      </c>
      <c r="D4" s="3" t="n">
        <v>1.528</v>
      </c>
      <c r="E4" s="2" t="n">
        <v>1.19</v>
      </c>
    </row>
    <row r="5" customFormat="false" ht="15" hidden="false" customHeight="true" outlineLevel="0" collapsed="false">
      <c r="A5" s="3" t="s">
        <v>220</v>
      </c>
      <c r="B5" s="3" t="n">
        <v>5</v>
      </c>
      <c r="C5" s="3" t="n">
        <v>2.66</v>
      </c>
      <c r="D5" s="3" t="n">
        <v>1.502</v>
      </c>
      <c r="E5" s="2" t="n">
        <v>1.18</v>
      </c>
    </row>
    <row r="6" customFormat="false" ht="15" hidden="false" customHeight="true" outlineLevel="0" collapsed="false">
      <c r="A6" s="3" t="s">
        <v>221</v>
      </c>
      <c r="B6" s="3" t="n">
        <v>11</v>
      </c>
      <c r="C6" s="3" t="n">
        <v>6.88</v>
      </c>
      <c r="D6" s="3" t="n">
        <v>1.465</v>
      </c>
      <c r="E6" s="2" t="n">
        <v>1.17</v>
      </c>
    </row>
    <row r="7" customFormat="false" ht="15" hidden="false" customHeight="true" outlineLevel="0" collapsed="false">
      <c r="A7" s="3" t="s">
        <v>222</v>
      </c>
      <c r="B7" s="3" t="n">
        <v>7</v>
      </c>
      <c r="C7" s="3" t="n">
        <v>4.17</v>
      </c>
      <c r="D7" s="3" t="n">
        <v>1.459</v>
      </c>
      <c r="E7" s="2" t="n">
        <v>1.16</v>
      </c>
    </row>
    <row r="8" customFormat="false" ht="15" hidden="false" customHeight="true" outlineLevel="0" collapsed="false">
      <c r="A8" s="3" t="s">
        <v>223</v>
      </c>
      <c r="B8" s="3" t="n">
        <v>8</v>
      </c>
      <c r="C8" s="3" t="n">
        <v>5.02</v>
      </c>
      <c r="D8" s="3" t="n">
        <v>1.424</v>
      </c>
      <c r="E8" s="2" t="n">
        <v>1.15</v>
      </c>
    </row>
    <row r="9" customFormat="false" ht="15" hidden="false" customHeight="true" outlineLevel="0" collapsed="false">
      <c r="A9" s="3" t="s">
        <v>224</v>
      </c>
      <c r="B9" s="3" t="n">
        <v>15</v>
      </c>
      <c r="C9" s="3" t="n">
        <v>10.21</v>
      </c>
      <c r="D9" s="3" t="n">
        <v>1.392</v>
      </c>
      <c r="E9" s="2" t="n">
        <v>1.14</v>
      </c>
    </row>
    <row r="10" customFormat="false" ht="15" hidden="false" customHeight="true" outlineLevel="0" collapsed="false">
      <c r="A10" s="3" t="s">
        <v>225</v>
      </c>
      <c r="B10" s="3" t="n">
        <v>9</v>
      </c>
      <c r="C10" s="3" t="n">
        <v>6.83</v>
      </c>
      <c r="D10" s="3" t="n">
        <v>1.246</v>
      </c>
      <c r="E10" s="2" t="n">
        <v>1.09</v>
      </c>
    </row>
    <row r="11" customFormat="false" ht="15" hidden="false" customHeight="true" outlineLevel="0" collapsed="false">
      <c r="A11" s="3" t="s">
        <v>226</v>
      </c>
      <c r="B11" s="3" t="n">
        <v>3</v>
      </c>
      <c r="C11" s="3" t="n">
        <v>2.38</v>
      </c>
      <c r="D11" s="3" t="n">
        <v>1.141</v>
      </c>
      <c r="E11" s="2" t="n">
        <v>1.05</v>
      </c>
    </row>
    <row r="12" customFormat="false" ht="15" hidden="false" customHeight="true" outlineLevel="0" collapsed="false">
      <c r="A12" s="3" t="s">
        <v>227</v>
      </c>
      <c r="B12" s="3" t="n">
        <v>6</v>
      </c>
      <c r="C12" s="3" t="n">
        <v>5.15</v>
      </c>
      <c r="D12" s="3" t="n">
        <v>1.119</v>
      </c>
      <c r="E12" s="2" t="n">
        <v>1.04</v>
      </c>
    </row>
    <row r="13" customFormat="false" ht="15" hidden="false" customHeight="true" outlineLevel="0" collapsed="false">
      <c r="A13" s="3" t="s">
        <v>228</v>
      </c>
      <c r="B13" s="3" t="n">
        <v>7</v>
      </c>
      <c r="C13" s="3" t="n">
        <v>6.15</v>
      </c>
      <c r="D13" s="3" t="n">
        <v>1.104</v>
      </c>
      <c r="E13" s="2" t="n">
        <v>1.04</v>
      </c>
    </row>
    <row r="14" customFormat="false" ht="15" hidden="false" customHeight="true" outlineLevel="0" collapsed="false">
      <c r="A14" s="3" t="s">
        <v>229</v>
      </c>
      <c r="B14" s="3" t="n">
        <v>4</v>
      </c>
      <c r="C14" s="3" t="n">
        <v>3.54</v>
      </c>
      <c r="D14" s="3" t="n">
        <v>1.084</v>
      </c>
      <c r="E14" s="2" t="n">
        <v>1.03</v>
      </c>
    </row>
    <row r="15" customFormat="false" ht="15" hidden="false" customHeight="true" outlineLevel="0" collapsed="false">
      <c r="A15" s="3" t="s">
        <v>230</v>
      </c>
      <c r="B15" s="3" t="n">
        <v>7</v>
      </c>
      <c r="C15" s="3" t="n">
        <v>6.36</v>
      </c>
      <c r="D15" s="3" t="n">
        <v>1.076</v>
      </c>
      <c r="E15" s="2" t="n">
        <v>1.03</v>
      </c>
    </row>
    <row r="16" customFormat="false" ht="15" hidden="false" customHeight="true" outlineLevel="0" collapsed="false">
      <c r="A16" s="3" t="s">
        <v>231</v>
      </c>
      <c r="B16" s="3" t="n">
        <v>3</v>
      </c>
      <c r="C16" s="3" t="n">
        <v>2.82</v>
      </c>
      <c r="D16" s="3" t="n">
        <v>1.038</v>
      </c>
      <c r="E16" s="2" t="n">
        <v>1.01</v>
      </c>
    </row>
    <row r="17" customFormat="false" ht="15" hidden="false" customHeight="true" outlineLevel="0" collapsed="false">
      <c r="A17" s="3" t="s">
        <v>232</v>
      </c>
      <c r="B17" s="3" t="n">
        <v>6</v>
      </c>
      <c r="C17" s="3" t="n">
        <v>5.91</v>
      </c>
      <c r="D17" s="3" t="n">
        <v>1.011</v>
      </c>
      <c r="E17" s="2" t="n">
        <v>1</v>
      </c>
    </row>
    <row r="18" customFormat="false" ht="15" hidden="false" customHeight="true" outlineLevel="0" collapsed="false">
      <c r="A18" s="3" t="s">
        <v>233</v>
      </c>
      <c r="B18" s="3" t="n">
        <v>4</v>
      </c>
      <c r="C18" s="3" t="n">
        <v>4.03</v>
      </c>
      <c r="D18" s="3" t="n">
        <v>0.995</v>
      </c>
      <c r="E18" s="2" t="n">
        <v>1</v>
      </c>
    </row>
    <row r="19" customFormat="false" ht="15" hidden="false" customHeight="true" outlineLevel="0" collapsed="false">
      <c r="A19" s="3" t="s">
        <v>234</v>
      </c>
      <c r="B19" s="3" t="n">
        <v>7</v>
      </c>
      <c r="C19" s="3" t="n">
        <v>7.08</v>
      </c>
      <c r="D19" s="3" t="n">
        <v>0.991</v>
      </c>
      <c r="E19" s="2" t="n">
        <v>1</v>
      </c>
    </row>
    <row r="20" customFormat="false" ht="15" hidden="false" customHeight="true" outlineLevel="0" collapsed="false">
      <c r="A20" s="3" t="s">
        <v>235</v>
      </c>
      <c r="B20" s="3" t="n">
        <v>5</v>
      </c>
      <c r="C20" s="3" t="n">
        <v>5.4</v>
      </c>
      <c r="D20" s="3" t="n">
        <v>0.947</v>
      </c>
      <c r="E20" s="2" t="n">
        <v>0.98</v>
      </c>
    </row>
    <row r="21" customFormat="false" ht="15" hidden="false" customHeight="true" outlineLevel="0" collapsed="false">
      <c r="A21" s="3" t="s">
        <v>236</v>
      </c>
      <c r="B21" s="3" t="n">
        <v>7</v>
      </c>
      <c r="C21" s="3" t="n">
        <v>7.62</v>
      </c>
      <c r="D21" s="3" t="n">
        <v>0.935</v>
      </c>
      <c r="E21" s="2" t="n">
        <v>0.98</v>
      </c>
    </row>
    <row r="22" customFormat="false" ht="15" hidden="false" customHeight="true" outlineLevel="0" collapsed="false">
      <c r="A22" s="3" t="s">
        <v>237</v>
      </c>
      <c r="B22" s="3" t="n">
        <v>4</v>
      </c>
      <c r="C22" s="3" t="n">
        <v>4.51</v>
      </c>
      <c r="D22" s="3" t="n">
        <v>0.921</v>
      </c>
      <c r="E22" s="2" t="n">
        <v>0.97</v>
      </c>
    </row>
    <row r="23" customFormat="false" ht="15" hidden="false" customHeight="true" outlineLevel="0" collapsed="false">
      <c r="A23" s="3" t="s">
        <v>238</v>
      </c>
      <c r="B23" s="3" t="n">
        <v>6</v>
      </c>
      <c r="C23" s="3" t="n">
        <v>6.88</v>
      </c>
      <c r="D23" s="3" t="n">
        <v>0.901</v>
      </c>
      <c r="E23" s="2" t="n">
        <v>0.96</v>
      </c>
    </row>
    <row r="24" customFormat="false" ht="15" hidden="false" customHeight="true" outlineLevel="0" collapsed="false">
      <c r="A24" s="3" t="s">
        <v>239</v>
      </c>
      <c r="B24" s="3" t="n">
        <v>6</v>
      </c>
      <c r="C24" s="3" t="n">
        <v>6.93</v>
      </c>
      <c r="D24" s="3" t="n">
        <v>0.896</v>
      </c>
      <c r="E24" s="2" t="n">
        <v>0.96</v>
      </c>
    </row>
    <row r="25" customFormat="false" ht="15" hidden="false" customHeight="true" outlineLevel="0" collapsed="false">
      <c r="A25" s="3" t="s">
        <v>240</v>
      </c>
      <c r="B25" s="3" t="n">
        <v>8</v>
      </c>
      <c r="C25" s="3" t="n">
        <v>11.56</v>
      </c>
      <c r="D25" s="3" t="n">
        <v>0.737</v>
      </c>
      <c r="E25" s="2" t="n">
        <v>0.91</v>
      </c>
    </row>
    <row r="26" customFormat="false" ht="15" hidden="false" customHeight="true" outlineLevel="0" collapsed="false">
      <c r="A26" s="3" t="s">
        <v>241</v>
      </c>
      <c r="B26" s="3" t="n">
        <v>1</v>
      </c>
      <c r="C26" s="3" t="n">
        <v>2.1</v>
      </c>
      <c r="D26" s="3" t="n">
        <v>0.731</v>
      </c>
      <c r="E26" s="2" t="n">
        <v>0.9</v>
      </c>
    </row>
    <row r="27" customFormat="false" ht="15" hidden="false" customHeight="true" outlineLevel="0" collapsed="false">
      <c r="A27" s="3" t="s">
        <v>242</v>
      </c>
      <c r="B27" s="3" t="n">
        <v>4</v>
      </c>
      <c r="C27" s="3" t="n">
        <v>6.5</v>
      </c>
      <c r="D27" s="3" t="n">
        <v>0.706</v>
      </c>
      <c r="E27" s="2" t="n">
        <v>0.9</v>
      </c>
    </row>
    <row r="28" customFormat="false" ht="15" hidden="false" customHeight="true" outlineLevel="0" collapsed="false">
      <c r="A28" s="3" t="s">
        <v>243</v>
      </c>
      <c r="B28" s="3" t="n">
        <v>5</v>
      </c>
      <c r="C28" s="3" t="n">
        <v>8.22</v>
      </c>
      <c r="D28" s="3" t="n">
        <v>0.685</v>
      </c>
      <c r="E28" s="2" t="n">
        <v>0.89</v>
      </c>
    </row>
    <row r="29" customFormat="false" ht="15" hidden="false" customHeight="true" outlineLevel="0" collapsed="false">
      <c r="A29" s="3" t="s">
        <v>244</v>
      </c>
      <c r="B29" s="3" t="n">
        <v>1</v>
      </c>
      <c r="C29" s="3" t="n">
        <v>2.51</v>
      </c>
      <c r="D29" s="3" t="n">
        <v>0.666</v>
      </c>
      <c r="E29" s="2" t="n">
        <v>0.88</v>
      </c>
    </row>
    <row r="30" customFormat="false" ht="15" hidden="false" customHeight="true" outlineLevel="0" collapsed="false">
      <c r="A30" s="3" t="s">
        <v>245</v>
      </c>
      <c r="B30" s="3" t="n">
        <v>2</v>
      </c>
      <c r="C30" s="3" t="n">
        <v>4.3</v>
      </c>
      <c r="D30" s="3" t="n">
        <v>0.635</v>
      </c>
      <c r="E30" s="2" t="n">
        <v>0.87</v>
      </c>
    </row>
    <row r="31" customFormat="false" ht="15" hidden="false" customHeight="true" outlineLevel="0" collapsed="false">
      <c r="A31" s="3" t="s">
        <v>246</v>
      </c>
      <c r="B31" s="3" t="n">
        <v>3</v>
      </c>
      <c r="C31" s="3" t="n">
        <v>6.14</v>
      </c>
      <c r="D31" s="3" t="n">
        <v>0.614</v>
      </c>
      <c r="E31" s="2" t="n">
        <v>0.86</v>
      </c>
    </row>
    <row r="32" customFormat="false" ht="15" hidden="false" customHeight="true" outlineLevel="0" collapsed="false">
      <c r="A32" s="3" t="s">
        <v>247</v>
      </c>
      <c r="B32" s="3" t="n">
        <v>4</v>
      </c>
      <c r="C32" s="3" t="n">
        <v>9.52</v>
      </c>
      <c r="D32" s="3" t="n">
        <v>0.521</v>
      </c>
      <c r="E32" s="2" t="n">
        <v>0.83</v>
      </c>
    </row>
    <row r="33" customFormat="false" ht="15" hidden="false" customHeight="true" outlineLevel="0" collapsed="false">
      <c r="A33" s="3" t="s">
        <v>248</v>
      </c>
      <c r="B33" s="3" t="n">
        <v>2</v>
      </c>
      <c r="C33" s="3" t="n">
        <v>5.97</v>
      </c>
      <c r="D33" s="3" t="n">
        <v>0.502</v>
      </c>
      <c r="E33" s="2" t="n">
        <v>0.82</v>
      </c>
    </row>
    <row r="34" customFormat="false" ht="15" hidden="false" customHeight="true" outlineLevel="0" collapsed="false">
      <c r="A34" s="3" t="s">
        <v>249</v>
      </c>
      <c r="B34" s="3" t="n">
        <v>2</v>
      </c>
      <c r="C34" s="3" t="n">
        <v>6.64</v>
      </c>
      <c r="D34" s="3" t="n">
        <v>0.463</v>
      </c>
      <c r="E34" s="2" t="n">
        <v>0.81</v>
      </c>
      <c r="F34" s="12" t="s">
        <v>250</v>
      </c>
    </row>
    <row r="35" customFormat="false" ht="15" hidden="false" customHeight="true" outlineLevel="0" collapsed="false">
      <c r="A35" s="3" t="s">
        <v>251</v>
      </c>
      <c r="B35" s="3" t="n">
        <v>2</v>
      </c>
      <c r="C35" s="3" t="n">
        <v>8.56</v>
      </c>
      <c r="D35" s="3" t="n">
        <v>0.379</v>
      </c>
      <c r="E35" s="2" t="n">
        <v>0.78</v>
      </c>
      <c r="F35" s="12" t="s">
        <v>250</v>
      </c>
    </row>
    <row r="36" customFormat="false" ht="15" hidden="false" customHeight="true" outlineLevel="0" collapsed="false">
      <c r="A36" s="3" t="s">
        <v>252</v>
      </c>
      <c r="B36" s="3" t="n">
        <v>0</v>
      </c>
      <c r="C36" s="3" t="n">
        <v>3.78</v>
      </c>
      <c r="D36" s="3" t="n">
        <v>0.346</v>
      </c>
      <c r="E36" s="2" t="n">
        <v>0.77</v>
      </c>
    </row>
    <row r="37" customFormat="false" ht="15" hidden="false" customHeight="true" outlineLevel="0" collapsed="false">
      <c r="A37" s="3" t="s">
        <v>253</v>
      </c>
      <c r="B37" s="3" t="n">
        <v>1</v>
      </c>
      <c r="C37" s="3" t="n">
        <v>8.12</v>
      </c>
      <c r="D37" s="3" t="n">
        <v>0.296</v>
      </c>
      <c r="E37" s="2" t="n">
        <v>0.75</v>
      </c>
      <c r="F37" s="12" t="s">
        <v>250</v>
      </c>
    </row>
    <row r="39" customFormat="false" ht="15" hidden="false" customHeight="true" outlineLevel="0" collapsed="false">
      <c r="A39" s="3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2026-07-25T05:16:42Z</dcterms:created>
  <dc:creator>openpyxl</dc:creator>
  <dc:description/>
  <dc:language>en-US</dc:language>
  <cp:lastModifiedBy/>
  <dcterms:modified xsi:type="dcterms:W3CDTF">2026-07-25T05:24:49Z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