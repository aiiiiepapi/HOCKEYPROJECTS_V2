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LOOKUP" sheetId="2" state="visible" r:id="rId4"/>
    <sheet name="PRICES" sheetId="3" state="visible" r:id="rId5"/>
    <sheet name="COACHE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<sst xmlns="http://schemas.openxmlformats.org/spreadsheetml/2006/main" count="610" uniqueCount="219">
  <si>
    <t xml:space="preserve">3MAPGOT v2 LIVE CALCULATOR — NHL, 3-goal gap, 3rd period</t>
  </si>
  <si>
    <t xml:space="preserve">Built 2026-07-25 by v2 pipeline. Provenance of every number:</t>
  </si>
  <si>
    <t xml:space="preserve">• Probabilities: seeded Monte Carlo (40,000 paths/cell) over curves fitted from ALL 2,624</t>
  </si>
  <si>
    <t xml:space="preserve">  games of 2024-25 + 2025-26 (raw NHL API lake, GitHub branch nhl-data-lake).</t>
  </si>
  <si>
    <t xml:space="preserve">• Validated by walk-forward backtest (fit 24-25 → 1,442 blind 25-26 prices): all four</t>
  </si>
  <si>
    <t xml:space="preserve">  markets calibrated. See docs/backtest_report.md in HOCKEYPROJECTS_V2.</t>
  </si>
  <si>
    <t xml:space="preserve">• Coach multipliers: EB-shrunk pulls-vs-expected, attenuated x0.355 = measured</t>
  </si>
  <si>
    <t xml:space="preserve">  season-to-season persistence. Raw multipliers are 2/3 noise — never bet them.</t>
  </si>
  <si>
    <t xml:space="preserve">• PULLED rows above 7:00 remaining are EXTRAPOLATION (real pulls start ~6:30).</t>
  </si>
  <si>
    <t xml:space="preserve">BETTING STANCE: decision support for manual bets, conservative sizing. Systematic</t>
  </si>
  <si>
    <t xml:space="preserve">betting awaits real-odds paper trading. v1 numbers retired.</t>
  </si>
  <si>
    <t xml:space="preserve">USE: LOOKUP tab → fill 3 yellow cells → read 4 probabilities. Yellow=input, grey=computed.</t>
  </si>
  <si>
    <t xml:space="preserve">UPDATE 2026-07-25b: coach TIMING shifts added (persistence 0.375, clamped ±120s). Roy +67s — his early-pull signature is priced; if he hasn't pulled by 6:00, his price now correctly drops below level-only.</t>
  </si>
  <si>
    <t xml:space="preserve">LIVE LOOKUP — fill the 3 yellow cells</t>
  </si>
  <si>
    <t xml:space="preserve">Time remaining (pick: 15:00,13:00,11:00,10:00,8:00,6:00,5:00,4:00,3:00)</t>
  </si>
  <si>
    <t xml:space="preserve">10:00</t>
  </si>
  <si>
    <t xml:space="preserve">State (not_pulled_EV / not_pulled_PP / pulled)</t>
  </si>
  <si>
    <t xml:space="preserve">not_pulled_EV</t>
  </si>
  <si>
    <t xml:space="preserve">Coach production multiplier (COACHES col E; unknown coach = 1.00)</t>
  </si>
  <si>
    <t xml:space="preserve">R seconds:</t>
  </si>
  <si>
    <t xml:space="preserve">tier low / high / weight:</t>
  </si>
  <si>
    <t xml:space="preserve">lookup keys:</t>
  </si>
  <si>
    <t xml:space="preserve">MARKET PROBABILITIES</t>
  </si>
  <si>
    <t xml:space="preserve">P(any more goal) — game total</t>
  </si>
  <si>
    <t xml:space="preserve">P(2+ more goals)</t>
  </si>
  <si>
    <t xml:space="preserve">P(LEADER scores again) — team total</t>
  </si>
  <si>
    <t xml:space="preserve">P(leader wins by 4+) — the -3.5</t>
  </si>
  <si>
    <t xml:space="preserve">Extrapolation warning:</t>
  </si>
  <si>
    <t xml:space="preserve">key</t>
  </si>
  <si>
    <t xml:space="preserve">time_left</t>
  </si>
  <si>
    <t xml:space="preserve">R_secs</t>
  </si>
  <si>
    <t xml:space="preserve">state</t>
  </si>
  <si>
    <t xml:space="preserve">coach_tier</t>
  </si>
  <si>
    <t xml:space="preserve">m</t>
  </si>
  <si>
    <t xml:space="preserve">P_total_ge1</t>
  </si>
  <si>
    <t xml:space="preserve">P_total_ge2</t>
  </si>
  <si>
    <t xml:space="preserve">P_leader_ge1</t>
  </si>
  <si>
    <t xml:space="preserve">P_margin_ge4</t>
  </si>
  <si>
    <t xml:space="preserve">note</t>
  </si>
  <si>
    <t xml:space="preserve">900|not_pulled_EV|0.80</t>
  </si>
  <si>
    <t xml:space="preserve">15:00</t>
  </si>
  <si>
    <t xml:space="preserve">conservative_0.80</t>
  </si>
  <si>
    <t xml:space="preserve">900|not_pulled_EV|1.00</t>
  </si>
  <si>
    <t xml:space="preserve">league_avg_1.00</t>
  </si>
  <si>
    <t xml:space="preserve">900|not_pulled_EV|1.39</t>
  </si>
  <si>
    <t xml:space="preserve">Roy_1.39</t>
  </si>
  <si>
    <t xml:space="preserve">incl. Roy timing shift +67s</t>
  </si>
  <si>
    <t xml:space="preserve">900|not_pulled_EV|1.85</t>
  </si>
  <si>
    <t xml:space="preserve">Bednar_1.85</t>
  </si>
  <si>
    <t xml:space="preserve">900|not_pulled_PP|0.80</t>
  </si>
  <si>
    <t xml:space="preserve">not_pulled_PP</t>
  </si>
  <si>
    <t xml:space="preserve">900|not_pulled_PP|1.00</t>
  </si>
  <si>
    <t xml:space="preserve">900|not_pulled_PP|1.39</t>
  </si>
  <si>
    <t xml:space="preserve">900|not_pulled_PP|1.85</t>
  </si>
  <si>
    <t xml:space="preserve">900|pulled|0.80</t>
  </si>
  <si>
    <t xml:space="preserve">pulled</t>
  </si>
  <si>
    <t xml:space="preserve">EXTRAPOLATED (no real pulls this early)</t>
  </si>
  <si>
    <t xml:space="preserve">900|pulled|1.00</t>
  </si>
  <si>
    <t xml:space="preserve">900|pulled|1.39</t>
  </si>
  <si>
    <t xml:space="preserve">EXTRAPOLATED (no real pulls this early) incl. Roy timing shift +67s</t>
  </si>
  <si>
    <t xml:space="preserve">900|pulled|1.85</t>
  </si>
  <si>
    <t xml:space="preserve">780|not_pulled_EV|0.80</t>
  </si>
  <si>
    <t xml:space="preserve">13:00</t>
  </si>
  <si>
    <t xml:space="preserve">780|not_pulled_EV|1.00</t>
  </si>
  <si>
    <t xml:space="preserve">780|not_pulled_EV|1.39</t>
  </si>
  <si>
    <t xml:space="preserve">780|not_pulled_EV|1.85</t>
  </si>
  <si>
    <t xml:space="preserve">780|not_pulled_PP|0.80</t>
  </si>
  <si>
    <t xml:space="preserve">780|not_pulled_PP|1.00</t>
  </si>
  <si>
    <t xml:space="preserve">780|not_pulled_PP|1.39</t>
  </si>
  <si>
    <t xml:space="preserve">780|not_pulled_PP|1.85</t>
  </si>
  <si>
    <t xml:space="preserve">780|pulled|0.80</t>
  </si>
  <si>
    <t xml:space="preserve">780|pulled|1.00</t>
  </si>
  <si>
    <t xml:space="preserve">780|pulled|1.39</t>
  </si>
  <si>
    <t xml:space="preserve">780|pulled|1.85</t>
  </si>
  <si>
    <t xml:space="preserve">660|not_pulled_EV|0.80</t>
  </si>
  <si>
    <t xml:space="preserve">11:00</t>
  </si>
  <si>
    <t xml:space="preserve">660|not_pulled_EV|1.00</t>
  </si>
  <si>
    <t xml:space="preserve">660|not_pulled_EV|1.39</t>
  </si>
  <si>
    <t xml:space="preserve">660|not_pulled_EV|1.85</t>
  </si>
  <si>
    <t xml:space="preserve">660|not_pulled_PP|0.80</t>
  </si>
  <si>
    <t xml:space="preserve">660|not_pulled_PP|1.00</t>
  </si>
  <si>
    <t xml:space="preserve">660|not_pulled_PP|1.39</t>
  </si>
  <si>
    <t xml:space="preserve">660|not_pulled_PP|1.85</t>
  </si>
  <si>
    <t xml:space="preserve">660|pulled|0.80</t>
  </si>
  <si>
    <t xml:space="preserve">660|pulled|1.00</t>
  </si>
  <si>
    <t xml:space="preserve">660|pulled|1.39</t>
  </si>
  <si>
    <t xml:space="preserve">660|pulled|1.85</t>
  </si>
  <si>
    <t xml:space="preserve">600|not_pulled_EV|0.80</t>
  </si>
  <si>
    <t xml:space="preserve">600|not_pulled_EV|1.00</t>
  </si>
  <si>
    <t xml:space="preserve">600|not_pulled_EV|1.39</t>
  </si>
  <si>
    <t xml:space="preserve">600|not_pulled_EV|1.85</t>
  </si>
  <si>
    <t xml:space="preserve">600|not_pulled_PP|0.80</t>
  </si>
  <si>
    <t xml:space="preserve">600|not_pulled_PP|1.00</t>
  </si>
  <si>
    <t xml:space="preserve">600|not_pulled_PP|1.39</t>
  </si>
  <si>
    <t xml:space="preserve">600|not_pulled_PP|1.85</t>
  </si>
  <si>
    <t xml:space="preserve">600|pulled|0.80</t>
  </si>
  <si>
    <t xml:space="preserve">600|pulled|1.00</t>
  </si>
  <si>
    <t xml:space="preserve">600|pulled|1.39</t>
  </si>
  <si>
    <t xml:space="preserve">600|pulled|1.85</t>
  </si>
  <si>
    <t xml:space="preserve">480|not_pulled_EV|0.80</t>
  </si>
  <si>
    <t xml:space="preserve">8:00</t>
  </si>
  <si>
    <t xml:space="preserve">480|not_pulled_EV|1.00</t>
  </si>
  <si>
    <t xml:space="preserve">480|not_pulled_EV|1.39</t>
  </si>
  <si>
    <t xml:space="preserve">480|not_pulled_EV|1.85</t>
  </si>
  <si>
    <t xml:space="preserve">480|not_pulled_PP|0.80</t>
  </si>
  <si>
    <t xml:space="preserve">480|not_pulled_PP|1.00</t>
  </si>
  <si>
    <t xml:space="preserve">480|not_pulled_PP|1.39</t>
  </si>
  <si>
    <t xml:space="preserve">480|not_pulled_PP|1.85</t>
  </si>
  <si>
    <t xml:space="preserve">480|pulled|0.80</t>
  </si>
  <si>
    <t xml:space="preserve">480|pulled|1.00</t>
  </si>
  <si>
    <t xml:space="preserve">480|pulled|1.39</t>
  </si>
  <si>
    <t xml:space="preserve">480|pulled|1.85</t>
  </si>
  <si>
    <t xml:space="preserve">360|not_pulled_EV|0.80</t>
  </si>
  <si>
    <t xml:space="preserve">6:00</t>
  </si>
  <si>
    <t xml:space="preserve">360|not_pulled_EV|1.00</t>
  </si>
  <si>
    <t xml:space="preserve">360|not_pulled_EV|1.39</t>
  </si>
  <si>
    <t xml:space="preserve">360|not_pulled_EV|1.85</t>
  </si>
  <si>
    <t xml:space="preserve">360|not_pulled_PP|0.80</t>
  </si>
  <si>
    <t xml:space="preserve">360|not_pulled_PP|1.00</t>
  </si>
  <si>
    <t xml:space="preserve">360|not_pulled_PP|1.39</t>
  </si>
  <si>
    <t xml:space="preserve">360|not_pulled_PP|1.85</t>
  </si>
  <si>
    <t xml:space="preserve">360|pulled|0.80</t>
  </si>
  <si>
    <t xml:space="preserve">360|pulled|1.00</t>
  </si>
  <si>
    <t xml:space="preserve">360|pulled|1.39</t>
  </si>
  <si>
    <t xml:space="preserve">360|pulled|1.85</t>
  </si>
  <si>
    <t xml:space="preserve">300|not_pulled_EV|0.80</t>
  </si>
  <si>
    <t xml:space="preserve">5:00</t>
  </si>
  <si>
    <t xml:space="preserve">300|not_pulled_EV|1.00</t>
  </si>
  <si>
    <t xml:space="preserve">300|not_pulled_EV|1.39</t>
  </si>
  <si>
    <t xml:space="preserve">300|not_pulled_EV|1.85</t>
  </si>
  <si>
    <t xml:space="preserve">300|not_pulled_PP|0.80</t>
  </si>
  <si>
    <t xml:space="preserve">300|not_pulled_PP|1.00</t>
  </si>
  <si>
    <t xml:space="preserve">300|not_pulled_PP|1.39</t>
  </si>
  <si>
    <t xml:space="preserve">300|not_pulled_PP|1.85</t>
  </si>
  <si>
    <t xml:space="preserve">300|pulled|0.80</t>
  </si>
  <si>
    <t xml:space="preserve">300|pulled|1.00</t>
  </si>
  <si>
    <t xml:space="preserve">300|pulled|1.39</t>
  </si>
  <si>
    <t xml:space="preserve">300|pulled|1.85</t>
  </si>
  <si>
    <t xml:space="preserve">240|not_pulled_EV|0.80</t>
  </si>
  <si>
    <t xml:space="preserve">4:00</t>
  </si>
  <si>
    <t xml:space="preserve">240|not_pulled_EV|1.00</t>
  </si>
  <si>
    <t xml:space="preserve">240|not_pulled_EV|1.39</t>
  </si>
  <si>
    <t xml:space="preserve">240|not_pulled_EV|1.85</t>
  </si>
  <si>
    <t xml:space="preserve">240|not_pulled_PP|0.80</t>
  </si>
  <si>
    <t xml:space="preserve">240|not_pulled_PP|1.00</t>
  </si>
  <si>
    <t xml:space="preserve">240|not_pulled_PP|1.39</t>
  </si>
  <si>
    <t xml:space="preserve">240|not_pulled_PP|1.85</t>
  </si>
  <si>
    <t xml:space="preserve">240|pulled|0.80</t>
  </si>
  <si>
    <t xml:space="preserve">240|pulled|1.00</t>
  </si>
  <si>
    <t xml:space="preserve">240|pulled|1.39</t>
  </si>
  <si>
    <t xml:space="preserve">240|pulled|1.85</t>
  </si>
  <si>
    <t xml:space="preserve">180|not_pulled_EV|0.80</t>
  </si>
  <si>
    <t xml:space="preserve">3:00</t>
  </si>
  <si>
    <t xml:space="preserve">180|not_pulled_EV|1.00</t>
  </si>
  <si>
    <t xml:space="preserve">180|not_pulled_EV|1.39</t>
  </si>
  <si>
    <t xml:space="preserve">180|not_pulled_EV|1.85</t>
  </si>
  <si>
    <t xml:space="preserve">180|not_pulled_PP|0.80</t>
  </si>
  <si>
    <t xml:space="preserve">180|not_pulled_PP|1.00</t>
  </si>
  <si>
    <t xml:space="preserve">180|not_pulled_PP|1.39</t>
  </si>
  <si>
    <t xml:space="preserve">180|not_pulled_PP|1.85</t>
  </si>
  <si>
    <t xml:space="preserve">180|pulled|0.80</t>
  </si>
  <si>
    <t xml:space="preserve">180|pulled|1.00</t>
  </si>
  <si>
    <t xml:space="preserve">180|pulled|1.39</t>
  </si>
  <si>
    <t xml:space="preserve">180|pulled|1.85</t>
  </si>
  <si>
    <t xml:space="preserve">coach</t>
  </si>
  <si>
    <t xml:space="preserve">pulls(3-gap)</t>
  </si>
  <si>
    <t xml:space="preserve">expected</t>
  </si>
  <si>
    <t xml:space="preserve">raw_EB_mult</t>
  </si>
  <si>
    <t xml:space="preserve">PRODUCTION mult (use this)</t>
  </si>
  <si>
    <t xml:space="preserve">guidance</t>
  </si>
  <si>
    <t xml:space="preserve">Jared Bednar</t>
  </si>
  <si>
    <t xml:space="preserve">aggressive puller</t>
  </si>
  <si>
    <t xml:space="preserve">Dan Muse</t>
  </si>
  <si>
    <t xml:space="preserve">Joe Sacco</t>
  </si>
  <si>
    <t xml:space="preserve">Patrick Roy</t>
  </si>
  <si>
    <t xml:space="preserve">Craig Berube</t>
  </si>
  <si>
    <t xml:space="preserve">Peter Laviolette</t>
  </si>
  <si>
    <t xml:space="preserve">Glen Gulutzan</t>
  </si>
  <si>
    <t xml:space="preserve">Travis Green</t>
  </si>
  <si>
    <t xml:space="preserve">near league average</t>
  </si>
  <si>
    <t xml:space="preserve">D.J. Smith</t>
  </si>
  <si>
    <t xml:space="preserve">Dan Bylsma</t>
  </si>
  <si>
    <t xml:space="preserve">Kris Knoblauch</t>
  </si>
  <si>
    <t xml:space="preserve">Lindy Ruff</t>
  </si>
  <si>
    <t xml:space="preserve">Joel Quenneville</t>
  </si>
  <si>
    <t xml:space="preserve">Jon Cooper</t>
  </si>
  <si>
    <t xml:space="preserve">Scott Arniel</t>
  </si>
  <si>
    <t xml:space="preserve">John Hynes</t>
  </si>
  <si>
    <t xml:space="preserve">Jeff Blashill</t>
  </si>
  <si>
    <t xml:space="preserve">Derek Lalonde</t>
  </si>
  <si>
    <t xml:space="preserve">Paul Maurice</t>
  </si>
  <si>
    <t xml:space="preserve">Martin St. Louis</t>
  </si>
  <si>
    <t xml:space="preserve">Adam Foote</t>
  </si>
  <si>
    <t xml:space="preserve">Mike Sullivan</t>
  </si>
  <si>
    <t xml:space="preserve">Dean Evason</t>
  </si>
  <si>
    <t xml:space="preserve">Rick Tocchet</t>
  </si>
  <si>
    <t xml:space="preserve">Rick Bowness</t>
  </si>
  <si>
    <t xml:space="preserve">Drew Bannister</t>
  </si>
  <si>
    <t xml:space="preserve">Jim Hiller</t>
  </si>
  <si>
    <t xml:space="preserve">Peter DeBoer</t>
  </si>
  <si>
    <t xml:space="preserve">Bruce Cassidy</t>
  </si>
  <si>
    <t xml:space="preserve">Sheldon Keefe</t>
  </si>
  <si>
    <t xml:space="preserve">Brad Shaw</t>
  </si>
  <si>
    <t xml:space="preserve">Jim Montgomery</t>
  </si>
  <si>
    <t xml:space="preserve">Rod Brind'Amour</t>
  </si>
  <si>
    <t xml:space="preserve">Lane Lambert</t>
  </si>
  <si>
    <t xml:space="preserve">Ryan Warsofsky</t>
  </si>
  <si>
    <t xml:space="preserve">Marco Sturm</t>
  </si>
  <si>
    <t xml:space="preserve">Spencer Carbery</t>
  </si>
  <si>
    <t xml:space="preserve">Luke Richardson</t>
  </si>
  <si>
    <t xml:space="preserve">Greg Cronin</t>
  </si>
  <si>
    <t xml:space="preserve">AndrÃ© Tourigny</t>
  </si>
  <si>
    <t xml:space="preserve">conservative</t>
  </si>
  <si>
    <t xml:space="preserve">Todd McLellan</t>
  </si>
  <si>
    <t xml:space="preserve">Andrew Brunette</t>
  </si>
  <si>
    <t xml:space="preserve">John Tortorella</t>
  </si>
  <si>
    <t xml:space="preserve">Ryan Huska</t>
  </si>
  <si>
    <t xml:space="preserve">Anders Sorensen</t>
  </si>
  <si>
    <t xml:space="preserve">New coach or coach with new team (&lt;5 gap instances): use 1.00 and widen bands. Attenuation 0.355, shrinkage k=2 — docs/backtest_report.md.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</si>
</sst>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0"/>
      <color rgb="FFFF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EEEEE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</row>
    <row r="4" customFormat="false" ht="15" hidden="false" customHeight="true" outlineLevel="0" collapsed="false">
      <c r="A4" s="3" t="s">
        <v>3</v>
      </c>
    </row>
    <row r="5" customFormat="false" ht="15" hidden="false" customHeight="true" outlineLevel="0" collapsed="false">
      <c r="A5" s="3" t="s">
        <v>4</v>
      </c>
    </row>
    <row r="6" customFormat="false" ht="15" hidden="false" customHeight="true" outlineLevel="0" collapsed="false">
      <c r="A6" s="3" t="s">
        <v>5</v>
      </c>
    </row>
    <row r="7" customFormat="false" ht="15" hidden="false" customHeight="true" outlineLevel="0" collapsed="false">
      <c r="A7" s="3" t="s">
        <v>6</v>
      </c>
    </row>
    <row r="8" customFormat="false" ht="15" hidden="false" customHeight="true" outlineLevel="0" collapsed="false">
      <c r="A8" s="3" t="s">
        <v>7</v>
      </c>
    </row>
    <row r="9" customFormat="false" ht="15" hidden="false" customHeight="true" outlineLevel="0" collapsed="false">
      <c r="A9" s="3" t="s">
        <v>8</v>
      </c>
    </row>
    <row r="10" customFormat="false" ht="15" hidden="false" customHeight="true" outlineLevel="0" collapsed="false">
      <c r="A10" s="2" t="s">
        <v>9</v>
      </c>
    </row>
    <row r="11" customFormat="false" ht="15" hidden="false" customHeight="true" outlineLevel="0" collapsed="false">
      <c r="A11" s="2" t="s">
        <v>10</v>
      </c>
    </row>
    <row r="12" customFormat="false" ht="15" hidden="false" customHeight="true" outlineLevel="0" collapsed="false">
      <c r="A12" s="3" t="s">
        <v>11</v>
      </c>
    </row>
    <row r="15" customFormat="false" ht="15" hidden="false" customHeight="false" outlineLevel="0" collapsed="false">
      <c r="A15" s="1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2"/>
    <col collapsed="false" customWidth="true" hidden="false" outlineLevel="0" max="6" min="4" style="1" width="16"/>
  </cols>
  <sheetData>
    <row r="1" customFormat="false" ht="15" hidden="false" customHeight="true" outlineLevel="0" collapsed="false">
      <c r="A1" s="4" t="s">
        <v>13</v>
      </c>
    </row>
    <row r="3" customFormat="false" ht="15" hidden="false" customHeight="true" outlineLevel="0" collapsed="false">
      <c r="A3" s="3" t="s">
        <v>14</v>
      </c>
      <c r="D3" s="5" t="s">
        <v>15</v>
      </c>
    </row>
    <row r="4" customFormat="false" ht="15" hidden="false" customHeight="true" outlineLevel="0" collapsed="false">
      <c r="A4" s="3" t="s">
        <v>16</v>
      </c>
      <c r="D4" s="5" t="s">
        <v>17</v>
      </c>
    </row>
    <row r="5" customFormat="false" ht="15" hidden="false" customHeight="true" outlineLevel="0" collapsed="false">
      <c r="A5" s="3" t="s">
        <v>18</v>
      </c>
      <c r="D5" s="5" t="n">
        <v>1</v>
      </c>
    </row>
    <row r="7" customFormat="false" ht="15" hidden="false" customHeight="true" outlineLevel="0" collapsed="false">
      <c r="A7" s="3" t="s">
        <v>19</v>
      </c>
      <c r="D7" s="3" t="n">
        <f aca="false">VALUE(LEFT(D3,FIND(":",D3)-1))*60+VALUE(MID(D3,FIND(":",D3)+1,2))</f>
        <v>600</v>
      </c>
    </row>
    <row r="8" customFormat="false" ht="15" hidden="false" customHeight="true" outlineLevel="0" collapsed="false">
      <c r="A8" s="3" t="s">
        <v>20</v>
      </c>
      <c r="D8" s="3" t="n">
        <f aca="false">IF(D5&lt;=1,0.8,IF(D5&lt;=1.39,1,1.39))</f>
        <v>0.8</v>
      </c>
      <c r="E8" s="3" t="n">
        <f aca="false">IF(D5&lt;=1,1,IF(D5&lt;=1.39,1.39,1.85))</f>
        <v>1</v>
      </c>
      <c r="F8" s="3" t="n">
        <f aca="false">MAX(0,MIN(1,(D5-D8)/(E8-D8)))</f>
        <v>1</v>
      </c>
    </row>
    <row r="9" customFormat="false" ht="15" hidden="false" customHeight="true" outlineLevel="0" collapsed="false">
      <c r="A9" s="3" t="s">
        <v>21</v>
      </c>
      <c r="D9" s="3" t="str">
        <f aca="false">D7&amp;"|"&amp;D4&amp;"|"&amp;TEXT(D8,"0.00")</f>
        <v>600|not_pulled_EV|0.80</v>
      </c>
      <c r="E9" s="3" t="str">
        <f aca="false">D7&amp;"|"&amp;D4&amp;"|"&amp;TEXT(E8,"0.00")</f>
        <v>600|not_pulled_EV|1.00</v>
      </c>
    </row>
    <row r="11" customFormat="false" ht="15" hidden="false" customHeight="true" outlineLevel="0" collapsed="false">
      <c r="A11" s="6" t="s">
        <v>22</v>
      </c>
    </row>
    <row r="12" customFormat="false" ht="15" hidden="false" customHeight="true" outlineLevel="0" collapsed="false">
      <c r="A12" s="3" t="s">
        <v>23</v>
      </c>
      <c r="D12" s="7" t="n">
        <f aca="false">INDEX(PRICES!G:G,MATCH($D$9,PRICES!A:A,0))+$F$8*(INDEX(PRICES!G:G,MATCH($E$9,PRICES!A:A,0))-INDEX(PRICES!G:G,MATCH($D$9,PRICES!A:A,0)))</f>
        <v>0.7248</v>
      </c>
    </row>
    <row r="13" customFormat="false" ht="15" hidden="false" customHeight="true" outlineLevel="0" collapsed="false">
      <c r="A13" s="3" t="s">
        <v>24</v>
      </c>
      <c r="D13" s="7" t="n">
        <f aca="false">INDEX(PRICES!H:H,MATCH($D$9,PRICES!A:A,0))+$F$8*(INDEX(PRICES!H:H,MATCH($E$9,PRICES!A:A,0))-INDEX(PRICES!H:H,MATCH($D$9,PRICES!A:A,0)))</f>
        <v>0.3594</v>
      </c>
    </row>
    <row r="14" customFormat="false" ht="15" hidden="false" customHeight="true" outlineLevel="0" collapsed="false">
      <c r="A14" s="3" t="s">
        <v>25</v>
      </c>
      <c r="D14" s="7" t="n">
        <f aca="false">INDEX(PRICES!I:I,MATCH($D$9,PRICES!A:A,0))+$F$8*(INDEX(PRICES!I:I,MATCH($E$9,PRICES!A:A,0))-INDEX(PRICES!I:I,MATCH($D$9,PRICES!A:A,0)))</f>
        <v>0.6203</v>
      </c>
    </row>
    <row r="15" customFormat="false" ht="15" hidden="false" customHeight="true" outlineLevel="0" collapsed="false">
      <c r="A15" s="3" t="s">
        <v>26</v>
      </c>
      <c r="D15" s="7" t="n">
        <f aca="false">INDEX(PRICES!J:J,MATCH($D$9,PRICES!A:A,0))+$F$8*(INDEX(PRICES!J:J,MATCH($E$9,PRICES!A:A,0))-INDEX(PRICES!J:J,MATCH($D$9,PRICES!A:A,0)))</f>
        <v>0.4405</v>
      </c>
    </row>
    <row r="17" customFormat="false" ht="15" hidden="false" customHeight="true" outlineLevel="0" collapsed="false">
      <c r="A17" s="3" t="s">
        <v>27</v>
      </c>
      <c r="D17" s="8" t="str">
        <f aca="false">IF(AND(D4="pulled",D7&gt;420),"EXTRAPOLATED — no real pulls this early","ok")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9"/>
    <col collapsed="false" customWidth="true" hidden="false" outlineLevel="0" max="3" min="3" style="1" width="8"/>
    <col collapsed="false" customWidth="true" hidden="false" outlineLevel="0" max="4" min="4" style="1" width="15"/>
    <col collapsed="false" customWidth="true" hidden="false" outlineLevel="0" max="5" min="5" style="1" width="18"/>
    <col collapsed="false" customWidth="true" hidden="false" outlineLevel="0" max="6" min="6" style="1" width="6"/>
    <col collapsed="false" customWidth="true" hidden="false" outlineLevel="0" max="8" min="7" style="1" width="11"/>
    <col collapsed="false" customWidth="true" hidden="false" outlineLevel="0" max="10" min="9" style="1" width="12"/>
    <col collapsed="false" customWidth="true" hidden="false" outlineLevel="0" max="11" min="11" style="1" width="36"/>
  </cols>
  <sheetData>
    <row r="1" customFormat="false" ht="15" hidden="false" customHeight="true" outlineLevel="0" collapsed="false">
      <c r="A1" s="9" t="s">
        <v>28</v>
      </c>
      <c r="B1" s="9" t="s">
        <v>29</v>
      </c>
      <c r="C1" s="9" t="s">
        <v>30</v>
      </c>
      <c r="D1" s="9" t="s">
        <v>31</v>
      </c>
      <c r="E1" s="9" t="s">
        <v>32</v>
      </c>
      <c r="F1" s="9" t="s">
        <v>33</v>
      </c>
      <c r="G1" s="9" t="s">
        <v>34</v>
      </c>
      <c r="H1" s="9" t="s">
        <v>35</v>
      </c>
      <c r="I1" s="9" t="s">
        <v>36</v>
      </c>
      <c r="J1" s="9" t="s">
        <v>37</v>
      </c>
      <c r="K1" s="9" t="s">
        <v>38</v>
      </c>
    </row>
    <row r="2" customFormat="false" ht="15" hidden="false" customHeight="true" outlineLevel="0" collapsed="false">
      <c r="A2" s="3" t="s">
        <v>39</v>
      </c>
      <c r="B2" s="3" t="s">
        <v>40</v>
      </c>
      <c r="C2" s="3" t="n">
        <v>900</v>
      </c>
      <c r="D2" s="3" t="s">
        <v>17</v>
      </c>
      <c r="E2" s="3" t="s">
        <v>41</v>
      </c>
      <c r="F2" s="3" t="n">
        <v>0.8</v>
      </c>
      <c r="G2" s="10" t="n">
        <v>0.7974</v>
      </c>
      <c r="H2" s="10" t="n">
        <v>0.4829</v>
      </c>
      <c r="I2" s="10" t="n">
        <v>0.6833</v>
      </c>
      <c r="J2" s="10" t="n">
        <v>0.4497</v>
      </c>
      <c r="K2" s="3"/>
    </row>
    <row r="3" customFormat="false" ht="15" hidden="false" customHeight="true" outlineLevel="0" collapsed="false">
      <c r="A3" s="3" t="s">
        <v>42</v>
      </c>
      <c r="B3" s="3" t="s">
        <v>40</v>
      </c>
      <c r="C3" s="3" t="n">
        <v>900</v>
      </c>
      <c r="D3" s="3" t="s">
        <v>17</v>
      </c>
      <c r="E3" s="3" t="s">
        <v>43</v>
      </c>
      <c r="F3" s="3" t="n">
        <v>1</v>
      </c>
      <c r="G3" s="10" t="n">
        <v>0.8171</v>
      </c>
      <c r="H3" s="10" t="n">
        <v>0.4951</v>
      </c>
      <c r="I3" s="10" t="n">
        <v>0.709</v>
      </c>
      <c r="J3" s="10" t="n">
        <v>0.473</v>
      </c>
      <c r="K3" s="3"/>
    </row>
    <row r="4" customFormat="false" ht="15" hidden="false" customHeight="true" outlineLevel="0" collapsed="false">
      <c r="A4" s="3" t="s">
        <v>44</v>
      </c>
      <c r="B4" s="3" t="s">
        <v>40</v>
      </c>
      <c r="C4" s="3" t="n">
        <v>900</v>
      </c>
      <c r="D4" s="3" t="s">
        <v>17</v>
      </c>
      <c r="E4" s="3" t="s">
        <v>45</v>
      </c>
      <c r="F4" s="3" t="n">
        <v>1.39</v>
      </c>
      <c r="G4" s="10" t="n">
        <v>0.8609</v>
      </c>
      <c r="H4" s="10" t="n">
        <v>0.5279</v>
      </c>
      <c r="I4" s="10" t="n">
        <v>0.7661</v>
      </c>
      <c r="J4" s="10" t="n">
        <v>0.5279</v>
      </c>
      <c r="K4" s="3" t="s">
        <v>46</v>
      </c>
    </row>
    <row r="5" customFormat="false" ht="15" hidden="false" customHeight="true" outlineLevel="0" collapsed="false">
      <c r="A5" s="3" t="s">
        <v>47</v>
      </c>
      <c r="B5" s="3" t="s">
        <v>40</v>
      </c>
      <c r="C5" s="3" t="n">
        <v>900</v>
      </c>
      <c r="D5" s="3" t="s">
        <v>17</v>
      </c>
      <c r="E5" s="3" t="s">
        <v>48</v>
      </c>
      <c r="F5" s="3" t="n">
        <v>1.85</v>
      </c>
      <c r="G5" s="10" t="n">
        <v>0.871</v>
      </c>
      <c r="H5" s="10" t="n">
        <v>0.5222</v>
      </c>
      <c r="I5" s="10" t="n">
        <v>0.7758</v>
      </c>
      <c r="J5" s="10" t="n">
        <v>0.5409</v>
      </c>
      <c r="K5" s="3"/>
    </row>
    <row r="6" customFormat="false" ht="15" hidden="false" customHeight="true" outlineLevel="0" collapsed="false">
      <c r="A6" s="3" t="s">
        <v>49</v>
      </c>
      <c r="B6" s="3" t="s">
        <v>40</v>
      </c>
      <c r="C6" s="3" t="n">
        <v>900</v>
      </c>
      <c r="D6" s="3" t="s">
        <v>50</v>
      </c>
      <c r="E6" s="3" t="s">
        <v>41</v>
      </c>
      <c r="F6" s="3" t="n">
        <v>0.8</v>
      </c>
      <c r="G6" s="10" t="n">
        <v>0.8063</v>
      </c>
      <c r="H6" s="10" t="n">
        <v>0.5075</v>
      </c>
      <c r="I6" s="10" t="n">
        <v>0.6811</v>
      </c>
      <c r="J6" s="10" t="n">
        <v>0.4263</v>
      </c>
      <c r="K6" s="3"/>
    </row>
    <row r="7" customFormat="false" ht="15" hidden="false" customHeight="true" outlineLevel="0" collapsed="false">
      <c r="A7" s="3" t="s">
        <v>51</v>
      </c>
      <c r="B7" s="3" t="s">
        <v>40</v>
      </c>
      <c r="C7" s="3" t="n">
        <v>900</v>
      </c>
      <c r="D7" s="3" t="s">
        <v>50</v>
      </c>
      <c r="E7" s="3" t="s">
        <v>43</v>
      </c>
      <c r="F7" s="3" t="n">
        <v>1</v>
      </c>
      <c r="G7" s="10" t="n">
        <v>0.8249</v>
      </c>
      <c r="H7" s="10" t="n">
        <v>0.5196</v>
      </c>
      <c r="I7" s="10" t="n">
        <v>0.7068</v>
      </c>
      <c r="J7" s="10" t="n">
        <v>0.4501</v>
      </c>
      <c r="K7" s="3"/>
    </row>
    <row r="8" customFormat="false" ht="15" hidden="false" customHeight="true" outlineLevel="0" collapsed="false">
      <c r="A8" s="3" t="s">
        <v>52</v>
      </c>
      <c r="B8" s="3" t="s">
        <v>40</v>
      </c>
      <c r="C8" s="3" t="n">
        <v>900</v>
      </c>
      <c r="D8" s="3" t="s">
        <v>50</v>
      </c>
      <c r="E8" s="3" t="s">
        <v>45</v>
      </c>
      <c r="F8" s="3" t="n">
        <v>1.39</v>
      </c>
      <c r="G8" s="10" t="n">
        <v>0.867</v>
      </c>
      <c r="H8" s="10" t="n">
        <v>0.5517</v>
      </c>
      <c r="I8" s="10" t="n">
        <v>0.7624</v>
      </c>
      <c r="J8" s="10" t="n">
        <v>0.504</v>
      </c>
      <c r="K8" s="3" t="s">
        <v>46</v>
      </c>
    </row>
    <row r="9" customFormat="false" ht="15" hidden="false" customHeight="true" outlineLevel="0" collapsed="false">
      <c r="A9" s="3" t="s">
        <v>53</v>
      </c>
      <c r="B9" s="3" t="s">
        <v>40</v>
      </c>
      <c r="C9" s="3" t="n">
        <v>900</v>
      </c>
      <c r="D9" s="3" t="s">
        <v>50</v>
      </c>
      <c r="E9" s="3" t="s">
        <v>48</v>
      </c>
      <c r="F9" s="3" t="n">
        <v>1.85</v>
      </c>
      <c r="G9" s="10" t="n">
        <v>0.8772</v>
      </c>
      <c r="H9" s="10" t="n">
        <v>0.5468</v>
      </c>
      <c r="I9" s="10" t="n">
        <v>0.7734</v>
      </c>
      <c r="J9" s="10" t="n">
        <v>0.5183</v>
      </c>
      <c r="K9" s="3"/>
    </row>
    <row r="10" customFormat="false" ht="15" hidden="false" customHeight="true" outlineLevel="0" collapsed="false">
      <c r="A10" s="3" t="s">
        <v>54</v>
      </c>
      <c r="B10" s="3" t="s">
        <v>40</v>
      </c>
      <c r="C10" s="3" t="n">
        <v>900</v>
      </c>
      <c r="D10" s="3" t="s">
        <v>55</v>
      </c>
      <c r="E10" s="3" t="s">
        <v>41</v>
      </c>
      <c r="F10" s="3" t="n">
        <v>0.8</v>
      </c>
      <c r="G10" s="10" t="n">
        <v>0.9989</v>
      </c>
      <c r="H10" s="10" t="n">
        <v>0.7359</v>
      </c>
      <c r="I10" s="10" t="n">
        <v>0.9854</v>
      </c>
      <c r="J10" s="10" t="n">
        <v>0.84</v>
      </c>
      <c r="K10" s="3" t="s">
        <v>56</v>
      </c>
    </row>
    <row r="11" customFormat="false" ht="15" hidden="false" customHeight="true" outlineLevel="0" collapsed="false">
      <c r="A11" s="3" t="s">
        <v>57</v>
      </c>
      <c r="B11" s="3" t="s">
        <v>40</v>
      </c>
      <c r="C11" s="3" t="n">
        <v>900</v>
      </c>
      <c r="D11" s="3" t="s">
        <v>55</v>
      </c>
      <c r="E11" s="3" t="s">
        <v>43</v>
      </c>
      <c r="F11" s="3" t="n">
        <v>1</v>
      </c>
      <c r="G11" s="10" t="n">
        <v>0.9989</v>
      </c>
      <c r="H11" s="10" t="n">
        <v>0.737</v>
      </c>
      <c r="I11" s="10" t="n">
        <v>0.9854</v>
      </c>
      <c r="J11" s="10" t="n">
        <v>0.8399</v>
      </c>
      <c r="K11" s="3" t="s">
        <v>56</v>
      </c>
    </row>
    <row r="12" customFormat="false" ht="15" hidden="false" customHeight="true" outlineLevel="0" collapsed="false">
      <c r="A12" s="3" t="s">
        <v>58</v>
      </c>
      <c r="B12" s="3" t="s">
        <v>40</v>
      </c>
      <c r="C12" s="3" t="n">
        <v>900</v>
      </c>
      <c r="D12" s="3" t="s">
        <v>55</v>
      </c>
      <c r="E12" s="3" t="s">
        <v>45</v>
      </c>
      <c r="F12" s="3" t="n">
        <v>1.39</v>
      </c>
      <c r="G12" s="10" t="n">
        <v>0.9989</v>
      </c>
      <c r="H12" s="10" t="n">
        <v>0.7386</v>
      </c>
      <c r="I12" s="10" t="n">
        <v>0.9854</v>
      </c>
      <c r="J12" s="10" t="n">
        <v>0.8402</v>
      </c>
      <c r="K12" s="3" t="s">
        <v>59</v>
      </c>
    </row>
    <row r="13" customFormat="false" ht="15" hidden="false" customHeight="true" outlineLevel="0" collapsed="false">
      <c r="A13" s="3" t="s">
        <v>60</v>
      </c>
      <c r="B13" s="3" t="s">
        <v>40</v>
      </c>
      <c r="C13" s="3" t="n">
        <v>900</v>
      </c>
      <c r="D13" s="3" t="s">
        <v>55</v>
      </c>
      <c r="E13" s="3" t="s">
        <v>48</v>
      </c>
      <c r="F13" s="3" t="n">
        <v>1.85</v>
      </c>
      <c r="G13" s="10" t="n">
        <v>0.9989</v>
      </c>
      <c r="H13" s="10" t="n">
        <v>0.7407</v>
      </c>
      <c r="I13" s="10" t="n">
        <v>0.9854</v>
      </c>
      <c r="J13" s="10" t="n">
        <v>0.8403</v>
      </c>
      <c r="K13" s="3" t="s">
        <v>56</v>
      </c>
    </row>
    <row r="14" customFormat="false" ht="15" hidden="false" customHeight="true" outlineLevel="0" collapsed="false">
      <c r="A14" s="3" t="s">
        <v>61</v>
      </c>
      <c r="B14" s="3" t="s">
        <v>62</v>
      </c>
      <c r="C14" s="3" t="n">
        <v>780</v>
      </c>
      <c r="D14" s="3" t="s">
        <v>17</v>
      </c>
      <c r="E14" s="3" t="s">
        <v>41</v>
      </c>
      <c r="F14" s="3" t="n">
        <v>0.8</v>
      </c>
      <c r="G14" s="10" t="n">
        <v>0.7634</v>
      </c>
      <c r="H14" s="10" t="n">
        <v>0.43</v>
      </c>
      <c r="I14" s="10" t="n">
        <v>0.649</v>
      </c>
      <c r="J14" s="10" t="n">
        <v>0.439</v>
      </c>
      <c r="K14" s="3"/>
    </row>
    <row r="15" customFormat="false" ht="15" hidden="false" customHeight="true" outlineLevel="0" collapsed="false">
      <c r="A15" s="3" t="s">
        <v>63</v>
      </c>
      <c r="B15" s="3" t="s">
        <v>62</v>
      </c>
      <c r="C15" s="3" t="n">
        <v>780</v>
      </c>
      <c r="D15" s="3" t="s">
        <v>17</v>
      </c>
      <c r="E15" s="3" t="s">
        <v>43</v>
      </c>
      <c r="F15" s="3" t="n">
        <v>1</v>
      </c>
      <c r="G15" s="10" t="n">
        <v>0.7852</v>
      </c>
      <c r="H15" s="10" t="n">
        <v>0.4438</v>
      </c>
      <c r="I15" s="10" t="n">
        <v>0.6761</v>
      </c>
      <c r="J15" s="10" t="n">
        <v>0.4636</v>
      </c>
      <c r="K15" s="3"/>
    </row>
    <row r="16" customFormat="false" ht="15" hidden="false" customHeight="true" outlineLevel="0" collapsed="false">
      <c r="A16" s="3" t="s">
        <v>64</v>
      </c>
      <c r="B16" s="3" t="s">
        <v>62</v>
      </c>
      <c r="C16" s="3" t="n">
        <v>780</v>
      </c>
      <c r="D16" s="3" t="s">
        <v>17</v>
      </c>
      <c r="E16" s="3" t="s">
        <v>45</v>
      </c>
      <c r="F16" s="3" t="n">
        <v>1.39</v>
      </c>
      <c r="G16" s="10" t="n">
        <v>0.8335</v>
      </c>
      <c r="H16" s="10" t="n">
        <v>0.4792</v>
      </c>
      <c r="I16" s="10" t="n">
        <v>0.7373</v>
      </c>
      <c r="J16" s="10" t="n">
        <v>0.5188</v>
      </c>
      <c r="K16" s="3" t="s">
        <v>46</v>
      </c>
    </row>
    <row r="17" customFormat="false" ht="15" hidden="false" customHeight="true" outlineLevel="0" collapsed="false">
      <c r="A17" s="3" t="s">
        <v>65</v>
      </c>
      <c r="B17" s="3" t="s">
        <v>62</v>
      </c>
      <c r="C17" s="3" t="n">
        <v>780</v>
      </c>
      <c r="D17" s="3" t="s">
        <v>17</v>
      </c>
      <c r="E17" s="3" t="s">
        <v>48</v>
      </c>
      <c r="F17" s="3" t="n">
        <v>1.85</v>
      </c>
      <c r="G17" s="10" t="n">
        <v>0.8476</v>
      </c>
      <c r="H17" s="10" t="n">
        <v>0.477</v>
      </c>
      <c r="I17" s="10" t="n">
        <v>0.7486</v>
      </c>
      <c r="J17" s="10" t="n">
        <v>0.5327</v>
      </c>
      <c r="K17" s="3"/>
    </row>
    <row r="18" customFormat="false" ht="15" hidden="false" customHeight="true" outlineLevel="0" collapsed="false">
      <c r="A18" s="3" t="s">
        <v>66</v>
      </c>
      <c r="B18" s="3" t="s">
        <v>62</v>
      </c>
      <c r="C18" s="3" t="n">
        <v>780</v>
      </c>
      <c r="D18" s="3" t="s">
        <v>50</v>
      </c>
      <c r="E18" s="3" t="s">
        <v>41</v>
      </c>
      <c r="F18" s="3" t="n">
        <v>0.8</v>
      </c>
      <c r="G18" s="10" t="n">
        <v>0.7775</v>
      </c>
      <c r="H18" s="10" t="n">
        <v>0.4593</v>
      </c>
      <c r="I18" s="10" t="n">
        <v>0.6527</v>
      </c>
      <c r="J18" s="10" t="n">
        <v>0.4222</v>
      </c>
      <c r="K18" s="3"/>
    </row>
    <row r="19" customFormat="false" ht="15" hidden="false" customHeight="true" outlineLevel="0" collapsed="false">
      <c r="A19" s="3" t="s">
        <v>67</v>
      </c>
      <c r="B19" s="3" t="s">
        <v>62</v>
      </c>
      <c r="C19" s="3" t="n">
        <v>780</v>
      </c>
      <c r="D19" s="3" t="s">
        <v>50</v>
      </c>
      <c r="E19" s="3" t="s">
        <v>43</v>
      </c>
      <c r="F19" s="3" t="n">
        <v>1</v>
      </c>
      <c r="G19" s="10" t="n">
        <v>0.7985</v>
      </c>
      <c r="H19" s="10" t="n">
        <v>0.4743</v>
      </c>
      <c r="I19" s="10" t="n">
        <v>0.68</v>
      </c>
      <c r="J19" s="10" t="n">
        <v>0.4474</v>
      </c>
      <c r="K19" s="3"/>
    </row>
    <row r="20" customFormat="false" ht="15" hidden="false" customHeight="true" outlineLevel="0" collapsed="false">
      <c r="A20" s="3" t="s">
        <v>68</v>
      </c>
      <c r="B20" s="3" t="s">
        <v>62</v>
      </c>
      <c r="C20" s="3" t="n">
        <v>780</v>
      </c>
      <c r="D20" s="3" t="s">
        <v>50</v>
      </c>
      <c r="E20" s="3" t="s">
        <v>45</v>
      </c>
      <c r="F20" s="3" t="n">
        <v>1.39</v>
      </c>
      <c r="G20" s="10" t="n">
        <v>0.8409</v>
      </c>
      <c r="H20" s="10" t="n">
        <v>0.5042</v>
      </c>
      <c r="I20" s="10" t="n">
        <v>0.7345</v>
      </c>
      <c r="J20" s="10" t="n">
        <v>0.4946</v>
      </c>
      <c r="K20" s="3" t="s">
        <v>46</v>
      </c>
    </row>
    <row r="21" customFormat="false" ht="15" hidden="false" customHeight="true" outlineLevel="0" collapsed="false">
      <c r="A21" s="3" t="s">
        <v>69</v>
      </c>
      <c r="B21" s="3" t="s">
        <v>62</v>
      </c>
      <c r="C21" s="3" t="n">
        <v>780</v>
      </c>
      <c r="D21" s="3" t="s">
        <v>50</v>
      </c>
      <c r="E21" s="3" t="s">
        <v>48</v>
      </c>
      <c r="F21" s="3" t="n">
        <v>1.85</v>
      </c>
      <c r="G21" s="10" t="n">
        <v>0.8566</v>
      </c>
      <c r="H21" s="10" t="n">
        <v>0.5059</v>
      </c>
      <c r="I21" s="10" t="n">
        <v>0.7495</v>
      </c>
      <c r="J21" s="10" t="n">
        <v>0.513</v>
      </c>
      <c r="K21" s="3"/>
    </row>
    <row r="22" customFormat="false" ht="15" hidden="false" customHeight="true" outlineLevel="0" collapsed="false">
      <c r="A22" s="3" t="s">
        <v>70</v>
      </c>
      <c r="B22" s="3" t="s">
        <v>62</v>
      </c>
      <c r="C22" s="3" t="n">
        <v>780</v>
      </c>
      <c r="D22" s="3" t="s">
        <v>55</v>
      </c>
      <c r="E22" s="3" t="s">
        <v>41</v>
      </c>
      <c r="F22" s="3" t="n">
        <v>0.8</v>
      </c>
      <c r="G22" s="10" t="n">
        <v>0.997</v>
      </c>
      <c r="H22" s="10" t="n">
        <v>0.6882</v>
      </c>
      <c r="I22" s="10" t="n">
        <v>0.9802</v>
      </c>
      <c r="J22" s="10" t="n">
        <v>0.823</v>
      </c>
      <c r="K22" s="3" t="s">
        <v>56</v>
      </c>
    </row>
    <row r="23" customFormat="false" ht="15" hidden="false" customHeight="true" outlineLevel="0" collapsed="false">
      <c r="A23" s="3" t="s">
        <v>71</v>
      </c>
      <c r="B23" s="3" t="s">
        <v>62</v>
      </c>
      <c r="C23" s="3" t="n">
        <v>780</v>
      </c>
      <c r="D23" s="3" t="s">
        <v>55</v>
      </c>
      <c r="E23" s="3" t="s">
        <v>43</v>
      </c>
      <c r="F23" s="3" t="n">
        <v>1</v>
      </c>
      <c r="G23" s="10" t="n">
        <v>0.997</v>
      </c>
      <c r="H23" s="10" t="n">
        <v>0.6888</v>
      </c>
      <c r="I23" s="10" t="n">
        <v>0.9802</v>
      </c>
      <c r="J23" s="10" t="n">
        <v>0.823</v>
      </c>
      <c r="K23" s="3" t="s">
        <v>56</v>
      </c>
    </row>
    <row r="24" customFormat="false" ht="15" hidden="false" customHeight="true" outlineLevel="0" collapsed="false">
      <c r="A24" s="3" t="s">
        <v>72</v>
      </c>
      <c r="B24" s="3" t="s">
        <v>62</v>
      </c>
      <c r="C24" s="3" t="n">
        <v>780</v>
      </c>
      <c r="D24" s="3" t="s">
        <v>55</v>
      </c>
      <c r="E24" s="3" t="s">
        <v>45</v>
      </c>
      <c r="F24" s="3" t="n">
        <v>1.39</v>
      </c>
      <c r="G24" s="10" t="n">
        <v>0.997</v>
      </c>
      <c r="H24" s="10" t="n">
        <v>0.6901</v>
      </c>
      <c r="I24" s="10" t="n">
        <v>0.9802</v>
      </c>
      <c r="J24" s="10" t="n">
        <v>0.823</v>
      </c>
      <c r="K24" s="3" t="s">
        <v>59</v>
      </c>
    </row>
    <row r="25" customFormat="false" ht="15" hidden="false" customHeight="true" outlineLevel="0" collapsed="false">
      <c r="A25" s="3" t="s">
        <v>73</v>
      </c>
      <c r="B25" s="3" t="s">
        <v>62</v>
      </c>
      <c r="C25" s="3" t="n">
        <v>780</v>
      </c>
      <c r="D25" s="3" t="s">
        <v>55</v>
      </c>
      <c r="E25" s="3" t="s">
        <v>48</v>
      </c>
      <c r="F25" s="3" t="n">
        <v>1.85</v>
      </c>
      <c r="G25" s="10" t="n">
        <v>0.997</v>
      </c>
      <c r="H25" s="10" t="n">
        <v>0.6919</v>
      </c>
      <c r="I25" s="10" t="n">
        <v>0.9803</v>
      </c>
      <c r="J25" s="10" t="n">
        <v>0.8233</v>
      </c>
      <c r="K25" s="3" t="s">
        <v>56</v>
      </c>
    </row>
    <row r="26" customFormat="false" ht="15" hidden="false" customHeight="true" outlineLevel="0" collapsed="false">
      <c r="A26" s="3" t="s">
        <v>74</v>
      </c>
      <c r="B26" s="3" t="s">
        <v>75</v>
      </c>
      <c r="C26" s="3" t="n">
        <v>660</v>
      </c>
      <c r="D26" s="3" t="s">
        <v>17</v>
      </c>
      <c r="E26" s="3" t="s">
        <v>41</v>
      </c>
      <c r="F26" s="3" t="n">
        <v>0.8</v>
      </c>
      <c r="G26" s="10" t="n">
        <v>0.7217</v>
      </c>
      <c r="H26" s="10" t="n">
        <v>0.3727</v>
      </c>
      <c r="I26" s="10" t="n">
        <v>0.6097</v>
      </c>
      <c r="J26" s="10" t="n">
        <v>0.4218</v>
      </c>
      <c r="K26" s="3"/>
    </row>
    <row r="27" customFormat="false" ht="15" hidden="false" customHeight="true" outlineLevel="0" collapsed="false">
      <c r="A27" s="3" t="s">
        <v>76</v>
      </c>
      <c r="B27" s="3" t="s">
        <v>75</v>
      </c>
      <c r="C27" s="3" t="n">
        <v>660</v>
      </c>
      <c r="D27" s="3" t="s">
        <v>17</v>
      </c>
      <c r="E27" s="3" t="s">
        <v>43</v>
      </c>
      <c r="F27" s="3" t="n">
        <v>1</v>
      </c>
      <c r="G27" s="10" t="n">
        <v>0.7475</v>
      </c>
      <c r="H27" s="10" t="n">
        <v>0.3868</v>
      </c>
      <c r="I27" s="10" t="n">
        <v>0.641</v>
      </c>
      <c r="J27" s="10" t="n">
        <v>0.4491</v>
      </c>
      <c r="K27" s="3"/>
    </row>
    <row r="28" customFormat="false" ht="15" hidden="false" customHeight="true" outlineLevel="0" collapsed="false">
      <c r="A28" s="3" t="s">
        <v>77</v>
      </c>
      <c r="B28" s="3" t="s">
        <v>75</v>
      </c>
      <c r="C28" s="3" t="n">
        <v>660</v>
      </c>
      <c r="D28" s="3" t="s">
        <v>17</v>
      </c>
      <c r="E28" s="3" t="s">
        <v>45</v>
      </c>
      <c r="F28" s="3" t="n">
        <v>1.39</v>
      </c>
      <c r="G28" s="10" t="n">
        <v>0.8073</v>
      </c>
      <c r="H28" s="10" t="n">
        <v>0.4301</v>
      </c>
      <c r="I28" s="10" t="n">
        <v>0.7161</v>
      </c>
      <c r="J28" s="10" t="n">
        <v>0.5152</v>
      </c>
      <c r="K28" s="3" t="s">
        <v>46</v>
      </c>
    </row>
    <row r="29" customFormat="false" ht="15" hidden="false" customHeight="true" outlineLevel="0" collapsed="false">
      <c r="A29" s="3" t="s">
        <v>78</v>
      </c>
      <c r="B29" s="3" t="s">
        <v>75</v>
      </c>
      <c r="C29" s="3" t="n">
        <v>660</v>
      </c>
      <c r="D29" s="3" t="s">
        <v>17</v>
      </c>
      <c r="E29" s="3" t="s">
        <v>48</v>
      </c>
      <c r="F29" s="3" t="n">
        <v>1.85</v>
      </c>
      <c r="G29" s="10" t="n">
        <v>0.8219</v>
      </c>
      <c r="H29" s="10" t="n">
        <v>0.423</v>
      </c>
      <c r="I29" s="10" t="n">
        <v>0.7268</v>
      </c>
      <c r="J29" s="10" t="n">
        <v>0.5254</v>
      </c>
      <c r="K29" s="3"/>
    </row>
    <row r="30" customFormat="false" ht="15" hidden="false" customHeight="true" outlineLevel="0" collapsed="false">
      <c r="A30" s="3" t="s">
        <v>79</v>
      </c>
      <c r="B30" s="3" t="s">
        <v>75</v>
      </c>
      <c r="C30" s="3" t="n">
        <v>660</v>
      </c>
      <c r="D30" s="3" t="s">
        <v>50</v>
      </c>
      <c r="E30" s="3" t="s">
        <v>41</v>
      </c>
      <c r="F30" s="3" t="n">
        <v>0.8</v>
      </c>
      <c r="G30" s="10" t="n">
        <v>0.7329</v>
      </c>
      <c r="H30" s="10" t="n">
        <v>0.4008</v>
      </c>
      <c r="I30" s="10" t="n">
        <v>0.6076</v>
      </c>
      <c r="J30" s="10" t="n">
        <v>0.397</v>
      </c>
      <c r="K30" s="3"/>
    </row>
    <row r="31" customFormat="false" ht="15" hidden="false" customHeight="true" outlineLevel="0" collapsed="false">
      <c r="A31" s="3" t="s">
        <v>80</v>
      </c>
      <c r="B31" s="3" t="s">
        <v>75</v>
      </c>
      <c r="C31" s="3" t="n">
        <v>660</v>
      </c>
      <c r="D31" s="3" t="s">
        <v>50</v>
      </c>
      <c r="E31" s="3" t="s">
        <v>43</v>
      </c>
      <c r="F31" s="3" t="n">
        <v>1</v>
      </c>
      <c r="G31" s="10" t="n">
        <v>0.7581</v>
      </c>
      <c r="H31" s="10" t="n">
        <v>0.4151</v>
      </c>
      <c r="I31" s="10" t="n">
        <v>0.6391</v>
      </c>
      <c r="J31" s="10" t="n">
        <v>0.4248</v>
      </c>
      <c r="K31" s="3"/>
    </row>
    <row r="32" customFormat="false" ht="15" hidden="false" customHeight="true" outlineLevel="0" collapsed="false">
      <c r="A32" s="3" t="s">
        <v>81</v>
      </c>
      <c r="B32" s="3" t="s">
        <v>75</v>
      </c>
      <c r="C32" s="3" t="n">
        <v>660</v>
      </c>
      <c r="D32" s="3" t="s">
        <v>50</v>
      </c>
      <c r="E32" s="3" t="s">
        <v>45</v>
      </c>
      <c r="F32" s="3" t="n">
        <v>1.39</v>
      </c>
      <c r="G32" s="10" t="n">
        <v>0.8178</v>
      </c>
      <c r="H32" s="10" t="n">
        <v>0.4603</v>
      </c>
      <c r="I32" s="10" t="n">
        <v>0.7161</v>
      </c>
      <c r="J32" s="10" t="n">
        <v>0.4935</v>
      </c>
      <c r="K32" s="3" t="s">
        <v>46</v>
      </c>
    </row>
    <row r="33" customFormat="false" ht="15" hidden="false" customHeight="true" outlineLevel="0" collapsed="false">
      <c r="A33" s="3" t="s">
        <v>82</v>
      </c>
      <c r="B33" s="3" t="s">
        <v>75</v>
      </c>
      <c r="C33" s="3" t="n">
        <v>660</v>
      </c>
      <c r="D33" s="3" t="s">
        <v>50</v>
      </c>
      <c r="E33" s="3" t="s">
        <v>48</v>
      </c>
      <c r="F33" s="3" t="n">
        <v>1.85</v>
      </c>
      <c r="G33" s="10" t="n">
        <v>0.8295</v>
      </c>
      <c r="H33" s="10" t="n">
        <v>0.4511</v>
      </c>
      <c r="I33" s="10" t="n">
        <v>0.724</v>
      </c>
      <c r="J33" s="10" t="n">
        <v>0.5007</v>
      </c>
      <c r="K33" s="3"/>
    </row>
    <row r="34" customFormat="false" ht="15" hidden="false" customHeight="true" outlineLevel="0" collapsed="false">
      <c r="A34" s="3" t="s">
        <v>83</v>
      </c>
      <c r="B34" s="3" t="s">
        <v>75</v>
      </c>
      <c r="C34" s="3" t="n">
        <v>660</v>
      </c>
      <c r="D34" s="3" t="s">
        <v>55</v>
      </c>
      <c r="E34" s="3" t="s">
        <v>41</v>
      </c>
      <c r="F34" s="3" t="n">
        <v>0.8</v>
      </c>
      <c r="G34" s="10" t="n">
        <v>0.9929</v>
      </c>
      <c r="H34" s="10" t="n">
        <v>0.6287</v>
      </c>
      <c r="I34" s="10" t="n">
        <v>0.9691</v>
      </c>
      <c r="J34" s="10" t="n">
        <v>0.8007</v>
      </c>
      <c r="K34" s="3" t="s">
        <v>56</v>
      </c>
    </row>
    <row r="35" customFormat="false" ht="15" hidden="false" customHeight="true" outlineLevel="0" collapsed="false">
      <c r="A35" s="3" t="s">
        <v>84</v>
      </c>
      <c r="B35" s="3" t="s">
        <v>75</v>
      </c>
      <c r="C35" s="3" t="n">
        <v>660</v>
      </c>
      <c r="D35" s="3" t="s">
        <v>55</v>
      </c>
      <c r="E35" s="3" t="s">
        <v>43</v>
      </c>
      <c r="F35" s="3" t="n">
        <v>1</v>
      </c>
      <c r="G35" s="10" t="n">
        <v>0.9929</v>
      </c>
      <c r="H35" s="10" t="n">
        <v>0.6293</v>
      </c>
      <c r="I35" s="10" t="n">
        <v>0.9691</v>
      </c>
      <c r="J35" s="10" t="n">
        <v>0.8007</v>
      </c>
      <c r="K35" s="3" t="s">
        <v>56</v>
      </c>
    </row>
    <row r="36" customFormat="false" ht="15" hidden="false" customHeight="true" outlineLevel="0" collapsed="false">
      <c r="A36" s="3" t="s">
        <v>85</v>
      </c>
      <c r="B36" s="3" t="s">
        <v>75</v>
      </c>
      <c r="C36" s="3" t="n">
        <v>660</v>
      </c>
      <c r="D36" s="3" t="s">
        <v>55</v>
      </c>
      <c r="E36" s="3" t="s">
        <v>45</v>
      </c>
      <c r="F36" s="3" t="n">
        <v>1.39</v>
      </c>
      <c r="G36" s="10" t="n">
        <v>0.9929</v>
      </c>
      <c r="H36" s="10" t="n">
        <v>0.6308</v>
      </c>
      <c r="I36" s="10" t="n">
        <v>0.9692</v>
      </c>
      <c r="J36" s="10" t="n">
        <v>0.8009</v>
      </c>
      <c r="K36" s="3" t="s">
        <v>59</v>
      </c>
    </row>
    <row r="37" customFormat="false" ht="15" hidden="false" customHeight="true" outlineLevel="0" collapsed="false">
      <c r="A37" s="3" t="s">
        <v>86</v>
      </c>
      <c r="B37" s="3" t="s">
        <v>75</v>
      </c>
      <c r="C37" s="3" t="n">
        <v>660</v>
      </c>
      <c r="D37" s="3" t="s">
        <v>55</v>
      </c>
      <c r="E37" s="3" t="s">
        <v>48</v>
      </c>
      <c r="F37" s="3" t="n">
        <v>1.85</v>
      </c>
      <c r="G37" s="10" t="n">
        <v>0.9929</v>
      </c>
      <c r="H37" s="10" t="n">
        <v>0.6322</v>
      </c>
      <c r="I37" s="10" t="n">
        <v>0.9696</v>
      </c>
      <c r="J37" s="10" t="n">
        <v>0.8014</v>
      </c>
      <c r="K37" s="3" t="s">
        <v>56</v>
      </c>
    </row>
    <row r="38" customFormat="false" ht="15" hidden="false" customHeight="true" outlineLevel="0" collapsed="false">
      <c r="A38" s="3" t="s">
        <v>87</v>
      </c>
      <c r="B38" s="3" t="s">
        <v>15</v>
      </c>
      <c r="C38" s="3" t="n">
        <v>600</v>
      </c>
      <c r="D38" s="3" t="s">
        <v>17</v>
      </c>
      <c r="E38" s="3" t="s">
        <v>41</v>
      </c>
      <c r="F38" s="3" t="n">
        <v>0.8</v>
      </c>
      <c r="G38" s="10" t="n">
        <v>0.6958</v>
      </c>
      <c r="H38" s="10" t="n">
        <v>0.3445</v>
      </c>
      <c r="I38" s="10" t="n">
        <v>0.5864</v>
      </c>
      <c r="J38" s="10" t="n">
        <v>0.4111</v>
      </c>
      <c r="K38" s="3"/>
    </row>
    <row r="39" customFormat="false" ht="15" hidden="false" customHeight="true" outlineLevel="0" collapsed="false">
      <c r="A39" s="3" t="s">
        <v>88</v>
      </c>
      <c r="B39" s="3" t="s">
        <v>15</v>
      </c>
      <c r="C39" s="3" t="n">
        <v>600</v>
      </c>
      <c r="D39" s="3" t="s">
        <v>17</v>
      </c>
      <c r="E39" s="3" t="s">
        <v>43</v>
      </c>
      <c r="F39" s="3" t="n">
        <v>1</v>
      </c>
      <c r="G39" s="10" t="n">
        <v>0.7248</v>
      </c>
      <c r="H39" s="10" t="n">
        <v>0.3594</v>
      </c>
      <c r="I39" s="10" t="n">
        <v>0.6203</v>
      </c>
      <c r="J39" s="10" t="n">
        <v>0.4405</v>
      </c>
      <c r="K39" s="3"/>
    </row>
    <row r="40" customFormat="false" ht="15" hidden="false" customHeight="true" outlineLevel="0" collapsed="false">
      <c r="A40" s="3" t="s">
        <v>89</v>
      </c>
      <c r="B40" s="3" t="s">
        <v>15</v>
      </c>
      <c r="C40" s="3" t="n">
        <v>600</v>
      </c>
      <c r="D40" s="3" t="s">
        <v>17</v>
      </c>
      <c r="E40" s="3" t="s">
        <v>45</v>
      </c>
      <c r="F40" s="3" t="n">
        <v>1.39</v>
      </c>
      <c r="G40" s="10" t="n">
        <v>0.7862</v>
      </c>
      <c r="H40" s="10" t="n">
        <v>0.4037</v>
      </c>
      <c r="I40" s="10" t="n">
        <v>0.6969</v>
      </c>
      <c r="J40" s="10" t="n">
        <v>0.5074</v>
      </c>
      <c r="K40" s="3" t="s">
        <v>46</v>
      </c>
    </row>
    <row r="41" customFormat="false" ht="15" hidden="false" customHeight="true" outlineLevel="0" collapsed="false">
      <c r="A41" s="3" t="s">
        <v>90</v>
      </c>
      <c r="B41" s="3" t="s">
        <v>15</v>
      </c>
      <c r="C41" s="3" t="n">
        <v>600</v>
      </c>
      <c r="D41" s="3" t="s">
        <v>17</v>
      </c>
      <c r="E41" s="3" t="s">
        <v>48</v>
      </c>
      <c r="F41" s="3" t="n">
        <v>1.85</v>
      </c>
      <c r="G41" s="10" t="n">
        <v>0.8044</v>
      </c>
      <c r="H41" s="10" t="n">
        <v>0.3956</v>
      </c>
      <c r="I41" s="10" t="n">
        <v>0.7097</v>
      </c>
      <c r="J41" s="10" t="n">
        <v>0.5205</v>
      </c>
      <c r="K41" s="3"/>
    </row>
    <row r="42" customFormat="false" ht="15" hidden="false" customHeight="true" outlineLevel="0" collapsed="false">
      <c r="A42" s="3" t="s">
        <v>91</v>
      </c>
      <c r="B42" s="3" t="s">
        <v>15</v>
      </c>
      <c r="C42" s="3" t="n">
        <v>600</v>
      </c>
      <c r="D42" s="3" t="s">
        <v>50</v>
      </c>
      <c r="E42" s="3" t="s">
        <v>41</v>
      </c>
      <c r="F42" s="3" t="n">
        <v>0.8</v>
      </c>
      <c r="G42" s="10" t="n">
        <v>0.7107</v>
      </c>
      <c r="H42" s="10" t="n">
        <v>0.3762</v>
      </c>
      <c r="I42" s="10" t="n">
        <v>0.5882</v>
      </c>
      <c r="J42" s="10" t="n">
        <v>0.3905</v>
      </c>
      <c r="K42" s="3"/>
    </row>
    <row r="43" customFormat="false" ht="15" hidden="false" customHeight="true" outlineLevel="0" collapsed="false">
      <c r="A43" s="3" t="s">
        <v>92</v>
      </c>
      <c r="B43" s="3" t="s">
        <v>15</v>
      </c>
      <c r="C43" s="3" t="n">
        <v>600</v>
      </c>
      <c r="D43" s="3" t="s">
        <v>50</v>
      </c>
      <c r="E43" s="3" t="s">
        <v>43</v>
      </c>
      <c r="F43" s="3" t="n">
        <v>1</v>
      </c>
      <c r="G43" s="10" t="n">
        <v>0.7387</v>
      </c>
      <c r="H43" s="10" t="n">
        <v>0.3911</v>
      </c>
      <c r="I43" s="10" t="n">
        <v>0.6221</v>
      </c>
      <c r="J43" s="10" t="n">
        <v>0.4202</v>
      </c>
      <c r="K43" s="3"/>
    </row>
    <row r="44" customFormat="false" ht="15" hidden="false" customHeight="true" outlineLevel="0" collapsed="false">
      <c r="A44" s="3" t="s">
        <v>93</v>
      </c>
      <c r="B44" s="3" t="s">
        <v>15</v>
      </c>
      <c r="C44" s="3" t="n">
        <v>600</v>
      </c>
      <c r="D44" s="3" t="s">
        <v>50</v>
      </c>
      <c r="E44" s="3" t="s">
        <v>45</v>
      </c>
      <c r="F44" s="3" t="n">
        <v>1.39</v>
      </c>
      <c r="G44" s="10" t="n">
        <v>0.8048</v>
      </c>
      <c r="H44" s="10" t="n">
        <v>0.4412</v>
      </c>
      <c r="I44" s="10" t="n">
        <v>0.7062</v>
      </c>
      <c r="J44" s="10" t="n">
        <v>0.4945</v>
      </c>
      <c r="K44" s="3" t="s">
        <v>46</v>
      </c>
    </row>
    <row r="45" customFormat="false" ht="15" hidden="false" customHeight="true" outlineLevel="0" collapsed="false">
      <c r="A45" s="3" t="s">
        <v>94</v>
      </c>
      <c r="B45" s="3" t="s">
        <v>15</v>
      </c>
      <c r="C45" s="3" t="n">
        <v>600</v>
      </c>
      <c r="D45" s="3" t="s">
        <v>50</v>
      </c>
      <c r="E45" s="3" t="s">
        <v>48</v>
      </c>
      <c r="F45" s="3" t="n">
        <v>1.85</v>
      </c>
      <c r="G45" s="10" t="n">
        <v>0.8159</v>
      </c>
      <c r="H45" s="10" t="n">
        <v>0.428</v>
      </c>
      <c r="I45" s="10" t="n">
        <v>0.7108</v>
      </c>
      <c r="J45" s="10" t="n">
        <v>0.5011</v>
      </c>
      <c r="K45" s="3"/>
    </row>
    <row r="46" customFormat="false" ht="15" hidden="false" customHeight="true" outlineLevel="0" collapsed="false">
      <c r="A46" s="3" t="s">
        <v>95</v>
      </c>
      <c r="B46" s="3" t="s">
        <v>15</v>
      </c>
      <c r="C46" s="3" t="n">
        <v>600</v>
      </c>
      <c r="D46" s="3" t="s">
        <v>55</v>
      </c>
      <c r="E46" s="3" t="s">
        <v>41</v>
      </c>
      <c r="F46" s="3" t="n">
        <v>0.8</v>
      </c>
      <c r="G46" s="10" t="n">
        <v>0.9886</v>
      </c>
      <c r="H46" s="10" t="n">
        <v>0.5932</v>
      </c>
      <c r="I46" s="10" t="n">
        <v>0.96</v>
      </c>
      <c r="J46" s="10" t="n">
        <v>0.7871</v>
      </c>
      <c r="K46" s="3" t="s">
        <v>56</v>
      </c>
    </row>
    <row r="47" customFormat="false" ht="15" hidden="false" customHeight="true" outlineLevel="0" collapsed="false">
      <c r="A47" s="3" t="s">
        <v>96</v>
      </c>
      <c r="B47" s="3" t="s">
        <v>15</v>
      </c>
      <c r="C47" s="3" t="n">
        <v>600</v>
      </c>
      <c r="D47" s="3" t="s">
        <v>55</v>
      </c>
      <c r="E47" s="3" t="s">
        <v>43</v>
      </c>
      <c r="F47" s="3" t="n">
        <v>1</v>
      </c>
      <c r="G47" s="10" t="n">
        <v>0.9886</v>
      </c>
      <c r="H47" s="10" t="n">
        <v>0.5936</v>
      </c>
      <c r="I47" s="10" t="n">
        <v>0.96</v>
      </c>
      <c r="J47" s="10" t="n">
        <v>0.7872</v>
      </c>
      <c r="K47" s="3" t="s">
        <v>56</v>
      </c>
    </row>
    <row r="48" customFormat="false" ht="15" hidden="false" customHeight="true" outlineLevel="0" collapsed="false">
      <c r="A48" s="3" t="s">
        <v>97</v>
      </c>
      <c r="B48" s="3" t="s">
        <v>15</v>
      </c>
      <c r="C48" s="3" t="n">
        <v>600</v>
      </c>
      <c r="D48" s="3" t="s">
        <v>55</v>
      </c>
      <c r="E48" s="3" t="s">
        <v>45</v>
      </c>
      <c r="F48" s="3" t="n">
        <v>1.39</v>
      </c>
      <c r="G48" s="10" t="n">
        <v>0.9886</v>
      </c>
      <c r="H48" s="10" t="n">
        <v>0.5946</v>
      </c>
      <c r="I48" s="10" t="n">
        <v>0.9602</v>
      </c>
      <c r="J48" s="10" t="n">
        <v>0.7874</v>
      </c>
      <c r="K48" s="3" t="s">
        <v>59</v>
      </c>
    </row>
    <row r="49" customFormat="false" ht="15" hidden="false" customHeight="true" outlineLevel="0" collapsed="false">
      <c r="A49" s="3" t="s">
        <v>98</v>
      </c>
      <c r="B49" s="3" t="s">
        <v>15</v>
      </c>
      <c r="C49" s="3" t="n">
        <v>600</v>
      </c>
      <c r="D49" s="3" t="s">
        <v>55</v>
      </c>
      <c r="E49" s="3" t="s">
        <v>48</v>
      </c>
      <c r="F49" s="3" t="n">
        <v>1.85</v>
      </c>
      <c r="G49" s="10" t="n">
        <v>0.9886</v>
      </c>
      <c r="H49" s="10" t="n">
        <v>0.5959</v>
      </c>
      <c r="I49" s="10" t="n">
        <v>0.9607</v>
      </c>
      <c r="J49" s="10" t="n">
        <v>0.7882</v>
      </c>
      <c r="K49" s="3" t="s">
        <v>56</v>
      </c>
    </row>
    <row r="50" customFormat="false" ht="15" hidden="false" customHeight="true" outlineLevel="0" collapsed="false">
      <c r="A50" s="3" t="s">
        <v>99</v>
      </c>
      <c r="B50" s="3" t="s">
        <v>100</v>
      </c>
      <c r="C50" s="3" t="n">
        <v>480</v>
      </c>
      <c r="D50" s="3" t="s">
        <v>17</v>
      </c>
      <c r="E50" s="3" t="s">
        <v>41</v>
      </c>
      <c r="F50" s="3" t="n">
        <v>0.8</v>
      </c>
      <c r="G50" s="10" t="n">
        <v>0.6405</v>
      </c>
      <c r="H50" s="10" t="n">
        <v>0.2806</v>
      </c>
      <c r="I50" s="10" t="n">
        <v>0.537</v>
      </c>
      <c r="J50" s="10" t="n">
        <v>0.3915</v>
      </c>
      <c r="K50" s="3"/>
    </row>
    <row r="51" customFormat="false" ht="15" hidden="false" customHeight="true" outlineLevel="0" collapsed="false">
      <c r="A51" s="3" t="s">
        <v>101</v>
      </c>
      <c r="B51" s="3" t="s">
        <v>100</v>
      </c>
      <c r="C51" s="3" t="n">
        <v>480</v>
      </c>
      <c r="D51" s="3" t="s">
        <v>17</v>
      </c>
      <c r="E51" s="3" t="s">
        <v>43</v>
      </c>
      <c r="F51" s="3" t="n">
        <v>1</v>
      </c>
      <c r="G51" s="10" t="n">
        <v>0.6743</v>
      </c>
      <c r="H51" s="10" t="n">
        <v>0.2963</v>
      </c>
      <c r="I51" s="10" t="n">
        <v>0.5751</v>
      </c>
      <c r="J51" s="10" t="n">
        <v>0.4242</v>
      </c>
      <c r="K51" s="3"/>
    </row>
    <row r="52" customFormat="false" ht="15" hidden="false" customHeight="true" outlineLevel="0" collapsed="false">
      <c r="A52" s="3" t="s">
        <v>102</v>
      </c>
      <c r="B52" s="3" t="s">
        <v>100</v>
      </c>
      <c r="C52" s="3" t="n">
        <v>480</v>
      </c>
      <c r="D52" s="3" t="s">
        <v>17</v>
      </c>
      <c r="E52" s="3" t="s">
        <v>45</v>
      </c>
      <c r="F52" s="3" t="n">
        <v>1.39</v>
      </c>
      <c r="G52" s="10" t="n">
        <v>0.7402</v>
      </c>
      <c r="H52" s="10" t="n">
        <v>0.3434</v>
      </c>
      <c r="I52" s="10" t="n">
        <v>0.6551</v>
      </c>
      <c r="J52" s="10" t="n">
        <v>0.4903</v>
      </c>
      <c r="K52" s="3" t="s">
        <v>46</v>
      </c>
    </row>
    <row r="53" customFormat="false" ht="15" hidden="false" customHeight="true" outlineLevel="0" collapsed="false">
      <c r="A53" s="3" t="s">
        <v>103</v>
      </c>
      <c r="B53" s="3" t="s">
        <v>100</v>
      </c>
      <c r="C53" s="3" t="n">
        <v>480</v>
      </c>
      <c r="D53" s="3" t="s">
        <v>17</v>
      </c>
      <c r="E53" s="3" t="s">
        <v>48</v>
      </c>
      <c r="F53" s="3" t="n">
        <v>1.85</v>
      </c>
      <c r="G53" s="10" t="n">
        <v>0.7682</v>
      </c>
      <c r="H53" s="10" t="n">
        <v>0.3397</v>
      </c>
      <c r="I53" s="10" t="n">
        <v>0.6775</v>
      </c>
      <c r="J53" s="10" t="n">
        <v>0.5104</v>
      </c>
      <c r="K53" s="3"/>
    </row>
    <row r="54" customFormat="false" ht="15" hidden="false" customHeight="true" outlineLevel="0" collapsed="false">
      <c r="A54" s="3" t="s">
        <v>104</v>
      </c>
      <c r="B54" s="3" t="s">
        <v>100</v>
      </c>
      <c r="C54" s="3" t="n">
        <v>480</v>
      </c>
      <c r="D54" s="3" t="s">
        <v>50</v>
      </c>
      <c r="E54" s="3" t="s">
        <v>41</v>
      </c>
      <c r="F54" s="3" t="n">
        <v>0.8</v>
      </c>
      <c r="G54" s="10" t="n">
        <v>0.6728</v>
      </c>
      <c r="H54" s="10" t="n">
        <v>0.325</v>
      </c>
      <c r="I54" s="10" t="n">
        <v>0.5572</v>
      </c>
      <c r="J54" s="10" t="n">
        <v>0.3851</v>
      </c>
      <c r="K54" s="3"/>
    </row>
    <row r="55" customFormat="false" ht="15" hidden="false" customHeight="true" outlineLevel="0" collapsed="false">
      <c r="A55" s="3" t="s">
        <v>105</v>
      </c>
      <c r="B55" s="3" t="s">
        <v>100</v>
      </c>
      <c r="C55" s="3" t="n">
        <v>480</v>
      </c>
      <c r="D55" s="3" t="s">
        <v>50</v>
      </c>
      <c r="E55" s="3" t="s">
        <v>43</v>
      </c>
      <c r="F55" s="3" t="n">
        <v>1</v>
      </c>
      <c r="G55" s="10" t="n">
        <v>0.7066</v>
      </c>
      <c r="H55" s="10" t="n">
        <v>0.343</v>
      </c>
      <c r="I55" s="10" t="n">
        <v>0.5968</v>
      </c>
      <c r="J55" s="10" t="n">
        <v>0.419</v>
      </c>
      <c r="K55" s="3"/>
    </row>
    <row r="56" customFormat="false" ht="15" hidden="false" customHeight="true" outlineLevel="0" collapsed="false">
      <c r="A56" s="3" t="s">
        <v>106</v>
      </c>
      <c r="B56" s="3" t="s">
        <v>100</v>
      </c>
      <c r="C56" s="3" t="n">
        <v>480</v>
      </c>
      <c r="D56" s="3" t="s">
        <v>50</v>
      </c>
      <c r="E56" s="3" t="s">
        <v>45</v>
      </c>
      <c r="F56" s="3" t="n">
        <v>1.39</v>
      </c>
      <c r="G56" s="10" t="n">
        <v>0.7875</v>
      </c>
      <c r="H56" s="10" t="n">
        <v>0.4019</v>
      </c>
      <c r="I56" s="10" t="n">
        <v>0.6948</v>
      </c>
      <c r="J56" s="10" t="n">
        <v>0.5029</v>
      </c>
      <c r="K56" s="3" t="s">
        <v>46</v>
      </c>
    </row>
    <row r="57" customFormat="false" ht="15" hidden="false" customHeight="true" outlineLevel="0" collapsed="false">
      <c r="A57" s="3" t="s">
        <v>107</v>
      </c>
      <c r="B57" s="3" t="s">
        <v>100</v>
      </c>
      <c r="C57" s="3" t="n">
        <v>480</v>
      </c>
      <c r="D57" s="3" t="s">
        <v>50</v>
      </c>
      <c r="E57" s="3" t="s">
        <v>48</v>
      </c>
      <c r="F57" s="3" t="n">
        <v>1.85</v>
      </c>
      <c r="G57" s="10" t="n">
        <v>0.7973</v>
      </c>
      <c r="H57" s="10" t="n">
        <v>0.3889</v>
      </c>
      <c r="I57" s="10" t="n">
        <v>0.6991</v>
      </c>
      <c r="J57" s="10" t="n">
        <v>0.506</v>
      </c>
      <c r="K57" s="3"/>
    </row>
    <row r="58" customFormat="false" ht="15" hidden="false" customHeight="true" outlineLevel="0" collapsed="false">
      <c r="A58" s="3" t="s">
        <v>108</v>
      </c>
      <c r="B58" s="3" t="s">
        <v>100</v>
      </c>
      <c r="C58" s="3" t="n">
        <v>480</v>
      </c>
      <c r="D58" s="3" t="s">
        <v>55</v>
      </c>
      <c r="E58" s="3" t="s">
        <v>41</v>
      </c>
      <c r="F58" s="3" t="n">
        <v>0.8</v>
      </c>
      <c r="G58" s="10" t="n">
        <v>0.9735</v>
      </c>
      <c r="H58" s="10" t="n">
        <v>0.5111</v>
      </c>
      <c r="I58" s="10" t="n">
        <v>0.929</v>
      </c>
      <c r="J58" s="10" t="n">
        <v>0.7499</v>
      </c>
      <c r="K58" s="3" t="s">
        <v>56</v>
      </c>
    </row>
    <row r="59" customFormat="false" ht="15" hidden="false" customHeight="true" outlineLevel="0" collapsed="false">
      <c r="A59" s="3" t="s">
        <v>109</v>
      </c>
      <c r="B59" s="3" t="s">
        <v>100</v>
      </c>
      <c r="C59" s="3" t="n">
        <v>480</v>
      </c>
      <c r="D59" s="3" t="s">
        <v>55</v>
      </c>
      <c r="E59" s="3" t="s">
        <v>43</v>
      </c>
      <c r="F59" s="3" t="n">
        <v>1</v>
      </c>
      <c r="G59" s="10" t="n">
        <v>0.9735</v>
      </c>
      <c r="H59" s="10" t="n">
        <v>0.5114</v>
      </c>
      <c r="I59" s="10" t="n">
        <v>0.929</v>
      </c>
      <c r="J59" s="10" t="n">
        <v>0.7499</v>
      </c>
      <c r="K59" s="3" t="s">
        <v>56</v>
      </c>
    </row>
    <row r="60" customFormat="false" ht="15" hidden="false" customHeight="true" outlineLevel="0" collapsed="false">
      <c r="A60" s="3" t="s">
        <v>110</v>
      </c>
      <c r="B60" s="3" t="s">
        <v>100</v>
      </c>
      <c r="C60" s="3" t="n">
        <v>480</v>
      </c>
      <c r="D60" s="3" t="s">
        <v>55</v>
      </c>
      <c r="E60" s="3" t="s">
        <v>45</v>
      </c>
      <c r="F60" s="3" t="n">
        <v>1.39</v>
      </c>
      <c r="G60" s="10" t="n">
        <v>0.9735</v>
      </c>
      <c r="H60" s="10" t="n">
        <v>0.5124</v>
      </c>
      <c r="I60" s="10" t="n">
        <v>0.9297</v>
      </c>
      <c r="J60" s="10" t="n">
        <v>0.75</v>
      </c>
      <c r="K60" s="3" t="s">
        <v>59</v>
      </c>
    </row>
    <row r="61" customFormat="false" ht="15" hidden="false" customHeight="true" outlineLevel="0" collapsed="false">
      <c r="A61" s="3" t="s">
        <v>111</v>
      </c>
      <c r="B61" s="3" t="s">
        <v>100</v>
      </c>
      <c r="C61" s="3" t="n">
        <v>480</v>
      </c>
      <c r="D61" s="3" t="s">
        <v>55</v>
      </c>
      <c r="E61" s="3" t="s">
        <v>48</v>
      </c>
      <c r="F61" s="3" t="n">
        <v>1.85</v>
      </c>
      <c r="G61" s="10" t="n">
        <v>0.9735</v>
      </c>
      <c r="H61" s="10" t="n">
        <v>0.5135</v>
      </c>
      <c r="I61" s="10" t="n">
        <v>0.9305</v>
      </c>
      <c r="J61" s="10" t="n">
        <v>0.7503</v>
      </c>
      <c r="K61" s="3" t="s">
        <v>56</v>
      </c>
    </row>
    <row r="62" customFormat="false" ht="15" hidden="false" customHeight="true" outlineLevel="0" collapsed="false">
      <c r="A62" s="3" t="s">
        <v>112</v>
      </c>
      <c r="B62" s="3" t="s">
        <v>113</v>
      </c>
      <c r="C62" s="3" t="n">
        <v>360</v>
      </c>
      <c r="D62" s="3" t="s">
        <v>17</v>
      </c>
      <c r="E62" s="3" t="s">
        <v>41</v>
      </c>
      <c r="F62" s="3" t="n">
        <v>0.8</v>
      </c>
      <c r="G62" s="10" t="n">
        <v>0.561</v>
      </c>
      <c r="H62" s="10" t="n">
        <v>0.217</v>
      </c>
      <c r="I62" s="10" t="n">
        <v>0.4648</v>
      </c>
      <c r="J62" s="10" t="n">
        <v>0.3517</v>
      </c>
      <c r="K62" s="3"/>
    </row>
    <row r="63" customFormat="false" ht="15" hidden="false" customHeight="true" outlineLevel="0" collapsed="false">
      <c r="A63" s="3" t="s">
        <v>114</v>
      </c>
      <c r="B63" s="3" t="s">
        <v>113</v>
      </c>
      <c r="C63" s="3" t="n">
        <v>360</v>
      </c>
      <c r="D63" s="3" t="s">
        <v>17</v>
      </c>
      <c r="E63" s="3" t="s">
        <v>43</v>
      </c>
      <c r="F63" s="3" t="n">
        <v>1</v>
      </c>
      <c r="G63" s="10" t="n">
        <v>0.5968</v>
      </c>
      <c r="H63" s="10" t="n">
        <v>0.2324</v>
      </c>
      <c r="I63" s="10" t="n">
        <v>0.503</v>
      </c>
      <c r="J63" s="10" t="n">
        <v>0.3835</v>
      </c>
      <c r="K63" s="3"/>
    </row>
    <row r="64" customFormat="false" ht="15" hidden="false" customHeight="true" outlineLevel="0" collapsed="false">
      <c r="A64" s="3" t="s">
        <v>115</v>
      </c>
      <c r="B64" s="3" t="s">
        <v>113</v>
      </c>
      <c r="C64" s="3" t="n">
        <v>360</v>
      </c>
      <c r="D64" s="3" t="s">
        <v>17</v>
      </c>
      <c r="E64" s="3" t="s">
        <v>45</v>
      </c>
      <c r="F64" s="3" t="n">
        <v>1.39</v>
      </c>
      <c r="G64" s="10" t="n">
        <v>0.6138</v>
      </c>
      <c r="H64" s="10" t="n">
        <v>0.2509</v>
      </c>
      <c r="I64" s="10" t="n">
        <v>0.5278</v>
      </c>
      <c r="J64" s="10" t="n">
        <v>0.4029</v>
      </c>
      <c r="K64" s="3" t="s">
        <v>46</v>
      </c>
    </row>
    <row r="65" customFormat="false" ht="15" hidden="false" customHeight="true" outlineLevel="0" collapsed="false">
      <c r="A65" s="3" t="s">
        <v>116</v>
      </c>
      <c r="B65" s="3" t="s">
        <v>113</v>
      </c>
      <c r="C65" s="3" t="n">
        <v>360</v>
      </c>
      <c r="D65" s="3" t="s">
        <v>17</v>
      </c>
      <c r="E65" s="3" t="s">
        <v>48</v>
      </c>
      <c r="F65" s="3" t="n">
        <v>1.85</v>
      </c>
      <c r="G65" s="10" t="n">
        <v>0.7089</v>
      </c>
      <c r="H65" s="10" t="n">
        <v>0.2751</v>
      </c>
      <c r="I65" s="10" t="n">
        <v>0.6181</v>
      </c>
      <c r="J65" s="10" t="n">
        <v>0.4811</v>
      </c>
      <c r="K65" s="3"/>
    </row>
    <row r="66" customFormat="false" ht="15" hidden="false" customHeight="true" outlineLevel="0" collapsed="false">
      <c r="A66" s="3" t="s">
        <v>117</v>
      </c>
      <c r="B66" s="3" t="s">
        <v>113</v>
      </c>
      <c r="C66" s="3" t="n">
        <v>360</v>
      </c>
      <c r="D66" s="3" t="s">
        <v>50</v>
      </c>
      <c r="E66" s="3" t="s">
        <v>41</v>
      </c>
      <c r="F66" s="3" t="n">
        <v>0.8</v>
      </c>
      <c r="G66" s="10" t="n">
        <v>0.6698</v>
      </c>
      <c r="H66" s="10" t="n">
        <v>0.2961</v>
      </c>
      <c r="I66" s="10" t="n">
        <v>0.5634</v>
      </c>
      <c r="J66" s="10" t="n">
        <v>0.4123</v>
      </c>
      <c r="K66" s="3"/>
    </row>
    <row r="67" customFormat="false" ht="15" hidden="false" customHeight="true" outlineLevel="0" collapsed="false">
      <c r="A67" s="3" t="s">
        <v>118</v>
      </c>
      <c r="B67" s="3" t="s">
        <v>113</v>
      </c>
      <c r="C67" s="3" t="n">
        <v>360</v>
      </c>
      <c r="D67" s="3" t="s">
        <v>50</v>
      </c>
      <c r="E67" s="3" t="s">
        <v>43</v>
      </c>
      <c r="F67" s="3" t="n">
        <v>1</v>
      </c>
      <c r="G67" s="10" t="n">
        <v>0.7148</v>
      </c>
      <c r="H67" s="10" t="n">
        <v>0.3166</v>
      </c>
      <c r="I67" s="10" t="n">
        <v>0.6112</v>
      </c>
      <c r="J67" s="10" t="n">
        <v>0.4529</v>
      </c>
      <c r="K67" s="3"/>
    </row>
    <row r="68" customFormat="false" ht="15" hidden="false" customHeight="true" outlineLevel="0" collapsed="false">
      <c r="A68" s="3" t="s">
        <v>119</v>
      </c>
      <c r="B68" s="3" t="s">
        <v>113</v>
      </c>
      <c r="C68" s="3" t="n">
        <v>360</v>
      </c>
      <c r="D68" s="3" t="s">
        <v>50</v>
      </c>
      <c r="E68" s="3" t="s">
        <v>45</v>
      </c>
      <c r="F68" s="3" t="n">
        <v>1.39</v>
      </c>
      <c r="G68" s="10" t="n">
        <v>0.7896</v>
      </c>
      <c r="H68" s="10" t="n">
        <v>0.3597</v>
      </c>
      <c r="I68" s="10" t="n">
        <v>0.6942</v>
      </c>
      <c r="J68" s="10" t="n">
        <v>0.5229</v>
      </c>
      <c r="K68" s="3" t="s">
        <v>46</v>
      </c>
    </row>
    <row r="69" customFormat="false" ht="15" hidden="false" customHeight="true" outlineLevel="0" collapsed="false">
      <c r="A69" s="3" t="s">
        <v>120</v>
      </c>
      <c r="B69" s="3" t="s">
        <v>113</v>
      </c>
      <c r="C69" s="3" t="n">
        <v>360</v>
      </c>
      <c r="D69" s="3" t="s">
        <v>50</v>
      </c>
      <c r="E69" s="3" t="s">
        <v>48</v>
      </c>
      <c r="F69" s="3" t="n">
        <v>1.85</v>
      </c>
      <c r="G69" s="10" t="n">
        <v>0.8143</v>
      </c>
      <c r="H69" s="10" t="n">
        <v>0.3593</v>
      </c>
      <c r="I69" s="10" t="n">
        <v>0.7168</v>
      </c>
      <c r="J69" s="10" t="n">
        <v>0.542</v>
      </c>
      <c r="K69" s="3"/>
    </row>
    <row r="70" customFormat="false" ht="15" hidden="false" customHeight="true" outlineLevel="0" collapsed="false">
      <c r="A70" s="3" t="s">
        <v>121</v>
      </c>
      <c r="B70" s="3" t="s">
        <v>113</v>
      </c>
      <c r="C70" s="3" t="n">
        <v>360</v>
      </c>
      <c r="D70" s="3" t="s">
        <v>55</v>
      </c>
      <c r="E70" s="3" t="s">
        <v>41</v>
      </c>
      <c r="F70" s="3" t="n">
        <v>0.8</v>
      </c>
      <c r="G70" s="10" t="n">
        <v>0.9341</v>
      </c>
      <c r="H70" s="10" t="n">
        <v>0.4012</v>
      </c>
      <c r="I70" s="10" t="n">
        <v>0.8638</v>
      </c>
      <c r="J70" s="10" t="n">
        <v>0.697</v>
      </c>
      <c r="K70" s="3"/>
    </row>
    <row r="71" customFormat="false" ht="15" hidden="false" customHeight="true" outlineLevel="0" collapsed="false">
      <c r="A71" s="3" t="s">
        <v>122</v>
      </c>
      <c r="B71" s="3" t="s">
        <v>113</v>
      </c>
      <c r="C71" s="3" t="n">
        <v>360</v>
      </c>
      <c r="D71" s="3" t="s">
        <v>55</v>
      </c>
      <c r="E71" s="3" t="s">
        <v>43</v>
      </c>
      <c r="F71" s="3" t="n">
        <v>1</v>
      </c>
      <c r="G71" s="10" t="n">
        <v>0.9341</v>
      </c>
      <c r="H71" s="10" t="n">
        <v>0.4014</v>
      </c>
      <c r="I71" s="10" t="n">
        <v>0.8638</v>
      </c>
      <c r="J71" s="10" t="n">
        <v>0.6971</v>
      </c>
      <c r="K71" s="3"/>
    </row>
    <row r="72" customFormat="false" ht="15" hidden="false" customHeight="true" outlineLevel="0" collapsed="false">
      <c r="A72" s="3" t="s">
        <v>123</v>
      </c>
      <c r="B72" s="3" t="s">
        <v>113</v>
      </c>
      <c r="C72" s="3" t="n">
        <v>360</v>
      </c>
      <c r="D72" s="3" t="s">
        <v>55</v>
      </c>
      <c r="E72" s="3" t="s">
        <v>45</v>
      </c>
      <c r="F72" s="3" t="n">
        <v>1.39</v>
      </c>
      <c r="G72" s="10" t="n">
        <v>0.9341</v>
      </c>
      <c r="H72" s="10" t="n">
        <v>0.4022</v>
      </c>
      <c r="I72" s="10" t="n">
        <v>0.8647</v>
      </c>
      <c r="J72" s="10" t="n">
        <v>0.6975</v>
      </c>
      <c r="K72" s="3" t="s">
        <v>46</v>
      </c>
    </row>
    <row r="73" customFormat="false" ht="15" hidden="false" customHeight="true" outlineLevel="0" collapsed="false">
      <c r="A73" s="3" t="s">
        <v>124</v>
      </c>
      <c r="B73" s="3" t="s">
        <v>113</v>
      </c>
      <c r="C73" s="3" t="n">
        <v>360</v>
      </c>
      <c r="D73" s="3" t="s">
        <v>55</v>
      </c>
      <c r="E73" s="3" t="s">
        <v>48</v>
      </c>
      <c r="F73" s="3" t="n">
        <v>1.85</v>
      </c>
      <c r="G73" s="10" t="n">
        <v>0.9341</v>
      </c>
      <c r="H73" s="10" t="n">
        <v>0.4038</v>
      </c>
      <c r="I73" s="10" t="n">
        <v>0.8662</v>
      </c>
      <c r="J73" s="10" t="n">
        <v>0.698</v>
      </c>
      <c r="K73" s="3"/>
    </row>
    <row r="74" customFormat="false" ht="15" hidden="false" customHeight="true" outlineLevel="0" collapsed="false">
      <c r="A74" s="3" t="s">
        <v>125</v>
      </c>
      <c r="B74" s="3" t="s">
        <v>126</v>
      </c>
      <c r="C74" s="3" t="n">
        <v>300</v>
      </c>
      <c r="D74" s="3" t="s">
        <v>17</v>
      </c>
      <c r="E74" s="3" t="s">
        <v>41</v>
      </c>
      <c r="F74" s="3" t="n">
        <v>0.8</v>
      </c>
      <c r="G74" s="10" t="n">
        <v>0.4824</v>
      </c>
      <c r="H74" s="10" t="n">
        <v>0.1636</v>
      </c>
      <c r="I74" s="10" t="n">
        <v>0.3856</v>
      </c>
      <c r="J74" s="10" t="n">
        <v>0.2977</v>
      </c>
      <c r="K74" s="3"/>
    </row>
    <row r="75" customFormat="false" ht="15" hidden="false" customHeight="true" outlineLevel="0" collapsed="false">
      <c r="A75" s="3" t="s">
        <v>127</v>
      </c>
      <c r="B75" s="3" t="s">
        <v>126</v>
      </c>
      <c r="C75" s="3" t="n">
        <v>300</v>
      </c>
      <c r="D75" s="3" t="s">
        <v>17</v>
      </c>
      <c r="E75" s="3" t="s">
        <v>43</v>
      </c>
      <c r="F75" s="3" t="n">
        <v>1</v>
      </c>
      <c r="G75" s="10" t="n">
        <v>0.5128</v>
      </c>
      <c r="H75" s="10" t="n">
        <v>0.1761</v>
      </c>
      <c r="I75" s="10" t="n">
        <v>0.4169</v>
      </c>
      <c r="J75" s="10" t="n">
        <v>0.3236</v>
      </c>
      <c r="K75" s="3"/>
    </row>
    <row r="76" customFormat="false" ht="15" hidden="false" customHeight="true" outlineLevel="0" collapsed="false">
      <c r="A76" s="3" t="s">
        <v>128</v>
      </c>
      <c r="B76" s="3" t="s">
        <v>126</v>
      </c>
      <c r="C76" s="3" t="n">
        <v>300</v>
      </c>
      <c r="D76" s="3" t="s">
        <v>17</v>
      </c>
      <c r="E76" s="3" t="s">
        <v>45</v>
      </c>
      <c r="F76" s="3" t="n">
        <v>1.39</v>
      </c>
      <c r="G76" s="10" t="n">
        <v>0.4826</v>
      </c>
      <c r="H76" s="10" t="n">
        <v>0.1744</v>
      </c>
      <c r="I76" s="10" t="n">
        <v>0.394</v>
      </c>
      <c r="J76" s="10" t="n">
        <v>0.3011</v>
      </c>
      <c r="K76" s="3" t="s">
        <v>46</v>
      </c>
    </row>
    <row r="77" customFormat="false" ht="15" hidden="false" customHeight="true" outlineLevel="0" collapsed="false">
      <c r="A77" s="3" t="s">
        <v>129</v>
      </c>
      <c r="B77" s="3" t="s">
        <v>126</v>
      </c>
      <c r="C77" s="3" t="n">
        <v>300</v>
      </c>
      <c r="D77" s="3" t="s">
        <v>17</v>
      </c>
      <c r="E77" s="3" t="s">
        <v>48</v>
      </c>
      <c r="F77" s="3" t="n">
        <v>1.85</v>
      </c>
      <c r="G77" s="10" t="n">
        <v>0.6307</v>
      </c>
      <c r="H77" s="10" t="n">
        <v>0.217</v>
      </c>
      <c r="I77" s="10" t="n">
        <v>0.5344</v>
      </c>
      <c r="J77" s="10" t="n">
        <v>0.4228</v>
      </c>
      <c r="K77" s="3"/>
    </row>
    <row r="78" customFormat="false" ht="15" hidden="false" customHeight="true" outlineLevel="0" collapsed="false">
      <c r="A78" s="3" t="s">
        <v>130</v>
      </c>
      <c r="B78" s="3" t="s">
        <v>126</v>
      </c>
      <c r="C78" s="3" t="n">
        <v>300</v>
      </c>
      <c r="D78" s="3" t="s">
        <v>50</v>
      </c>
      <c r="E78" s="3" t="s">
        <v>41</v>
      </c>
      <c r="F78" s="3" t="n">
        <v>0.8</v>
      </c>
      <c r="G78" s="10" t="n">
        <v>0.6378</v>
      </c>
      <c r="H78" s="10" t="n">
        <v>0.2519</v>
      </c>
      <c r="I78" s="10" t="n">
        <v>0.5225</v>
      </c>
      <c r="J78" s="10" t="n">
        <v>0.3901</v>
      </c>
      <c r="K78" s="3"/>
    </row>
    <row r="79" customFormat="false" ht="15" hidden="false" customHeight="true" outlineLevel="0" collapsed="false">
      <c r="A79" s="3" t="s">
        <v>131</v>
      </c>
      <c r="B79" s="3" t="s">
        <v>126</v>
      </c>
      <c r="C79" s="3" t="n">
        <v>300</v>
      </c>
      <c r="D79" s="3" t="s">
        <v>50</v>
      </c>
      <c r="E79" s="3" t="s">
        <v>43</v>
      </c>
      <c r="F79" s="3" t="n">
        <v>1</v>
      </c>
      <c r="G79" s="10" t="n">
        <v>0.6803</v>
      </c>
      <c r="H79" s="10" t="n">
        <v>0.2694</v>
      </c>
      <c r="I79" s="10" t="n">
        <v>0.5662</v>
      </c>
      <c r="J79" s="10" t="n">
        <v>0.4263</v>
      </c>
      <c r="K79" s="3"/>
    </row>
    <row r="80" customFormat="false" ht="15" hidden="false" customHeight="true" outlineLevel="0" collapsed="false">
      <c r="A80" s="3" t="s">
        <v>132</v>
      </c>
      <c r="B80" s="3" t="s">
        <v>126</v>
      </c>
      <c r="C80" s="3" t="n">
        <v>300</v>
      </c>
      <c r="D80" s="3" t="s">
        <v>50</v>
      </c>
      <c r="E80" s="3" t="s">
        <v>45</v>
      </c>
      <c r="F80" s="3" t="n">
        <v>1.39</v>
      </c>
      <c r="G80" s="10" t="n">
        <v>0.6824</v>
      </c>
      <c r="H80" s="10" t="n">
        <v>0.2787</v>
      </c>
      <c r="I80" s="10" t="n">
        <v>0.5751</v>
      </c>
      <c r="J80" s="10" t="n">
        <v>0.4308</v>
      </c>
      <c r="K80" s="3" t="s">
        <v>46</v>
      </c>
    </row>
    <row r="81" customFormat="false" ht="15" hidden="false" customHeight="true" outlineLevel="0" collapsed="false">
      <c r="A81" s="3" t="s">
        <v>133</v>
      </c>
      <c r="B81" s="3" t="s">
        <v>126</v>
      </c>
      <c r="C81" s="3" t="n">
        <v>300</v>
      </c>
      <c r="D81" s="3" t="s">
        <v>50</v>
      </c>
      <c r="E81" s="3" t="s">
        <v>48</v>
      </c>
      <c r="F81" s="3" t="n">
        <v>1.85</v>
      </c>
      <c r="G81" s="10" t="n">
        <v>0.7919</v>
      </c>
      <c r="H81" s="10" t="n">
        <v>0.3145</v>
      </c>
      <c r="I81" s="10" t="n">
        <v>0.6821</v>
      </c>
      <c r="J81" s="10" t="n">
        <v>0.5231</v>
      </c>
      <c r="K81" s="3"/>
    </row>
    <row r="82" customFormat="false" ht="15" hidden="false" customHeight="true" outlineLevel="0" collapsed="false">
      <c r="A82" s="3" t="s">
        <v>134</v>
      </c>
      <c r="B82" s="3" t="s">
        <v>126</v>
      </c>
      <c r="C82" s="3" t="n">
        <v>300</v>
      </c>
      <c r="D82" s="3" t="s">
        <v>55</v>
      </c>
      <c r="E82" s="3" t="s">
        <v>41</v>
      </c>
      <c r="F82" s="3" t="n">
        <v>0.8</v>
      </c>
      <c r="G82" s="10" t="n">
        <v>0.8957</v>
      </c>
      <c r="H82" s="10" t="n">
        <v>0.3328</v>
      </c>
      <c r="I82" s="10" t="n">
        <v>0.8082</v>
      </c>
      <c r="J82" s="10" t="n">
        <v>0.6563</v>
      </c>
      <c r="K82" s="3"/>
    </row>
    <row r="83" customFormat="false" ht="15" hidden="false" customHeight="true" outlineLevel="0" collapsed="false">
      <c r="A83" s="3" t="s">
        <v>135</v>
      </c>
      <c r="B83" s="3" t="s">
        <v>126</v>
      </c>
      <c r="C83" s="3" t="n">
        <v>300</v>
      </c>
      <c r="D83" s="3" t="s">
        <v>55</v>
      </c>
      <c r="E83" s="3" t="s">
        <v>43</v>
      </c>
      <c r="F83" s="3" t="n">
        <v>1</v>
      </c>
      <c r="G83" s="10" t="n">
        <v>0.8957</v>
      </c>
      <c r="H83" s="10" t="n">
        <v>0.3328</v>
      </c>
      <c r="I83" s="10" t="n">
        <v>0.8082</v>
      </c>
      <c r="J83" s="10" t="n">
        <v>0.6563</v>
      </c>
      <c r="K83" s="3"/>
    </row>
    <row r="84" customFormat="false" ht="15" hidden="false" customHeight="true" outlineLevel="0" collapsed="false">
      <c r="A84" s="3" t="s">
        <v>136</v>
      </c>
      <c r="B84" s="3" t="s">
        <v>126</v>
      </c>
      <c r="C84" s="3" t="n">
        <v>300</v>
      </c>
      <c r="D84" s="3" t="s">
        <v>55</v>
      </c>
      <c r="E84" s="3" t="s">
        <v>45</v>
      </c>
      <c r="F84" s="3" t="n">
        <v>1.39</v>
      </c>
      <c r="G84" s="10" t="n">
        <v>0.8957</v>
      </c>
      <c r="H84" s="10" t="n">
        <v>0.3339</v>
      </c>
      <c r="I84" s="10" t="n">
        <v>0.809</v>
      </c>
      <c r="J84" s="10" t="n">
        <v>0.6567</v>
      </c>
      <c r="K84" s="3" t="s">
        <v>46</v>
      </c>
    </row>
    <row r="85" customFormat="false" ht="15" hidden="false" customHeight="true" outlineLevel="0" collapsed="false">
      <c r="A85" s="3" t="s">
        <v>137</v>
      </c>
      <c r="B85" s="3" t="s">
        <v>126</v>
      </c>
      <c r="C85" s="3" t="n">
        <v>300</v>
      </c>
      <c r="D85" s="3" t="s">
        <v>55</v>
      </c>
      <c r="E85" s="3" t="s">
        <v>48</v>
      </c>
      <c r="F85" s="3" t="n">
        <v>1.85</v>
      </c>
      <c r="G85" s="10" t="n">
        <v>0.8957</v>
      </c>
      <c r="H85" s="10" t="n">
        <v>0.3357</v>
      </c>
      <c r="I85" s="10" t="n">
        <v>0.8109</v>
      </c>
      <c r="J85" s="10" t="n">
        <v>0.6576</v>
      </c>
      <c r="K85" s="3"/>
    </row>
    <row r="86" customFormat="false" ht="15" hidden="false" customHeight="true" outlineLevel="0" collapsed="false">
      <c r="A86" s="3" t="s">
        <v>138</v>
      </c>
      <c r="B86" s="3" t="s">
        <v>139</v>
      </c>
      <c r="C86" s="3" t="n">
        <v>240</v>
      </c>
      <c r="D86" s="3" t="s">
        <v>17</v>
      </c>
      <c r="E86" s="3" t="s">
        <v>41</v>
      </c>
      <c r="F86" s="3" t="n">
        <v>0.8</v>
      </c>
      <c r="G86" s="10" t="n">
        <v>0.3666</v>
      </c>
      <c r="H86" s="10" t="n">
        <v>0.107</v>
      </c>
      <c r="I86" s="10" t="n">
        <v>0.2759</v>
      </c>
      <c r="J86" s="10" t="n">
        <v>0.2143</v>
      </c>
      <c r="K86" s="3"/>
    </row>
    <row r="87" customFormat="false" ht="15" hidden="false" customHeight="true" outlineLevel="0" collapsed="false">
      <c r="A87" s="3" t="s">
        <v>140</v>
      </c>
      <c r="B87" s="3" t="s">
        <v>139</v>
      </c>
      <c r="C87" s="3" t="n">
        <v>240</v>
      </c>
      <c r="D87" s="3" t="s">
        <v>17</v>
      </c>
      <c r="E87" s="3" t="s">
        <v>43</v>
      </c>
      <c r="F87" s="3" t="n">
        <v>1</v>
      </c>
      <c r="G87" s="10" t="n">
        <v>0.3891</v>
      </c>
      <c r="H87" s="10" t="n">
        <v>0.1148</v>
      </c>
      <c r="I87" s="10" t="n">
        <v>0.2989</v>
      </c>
      <c r="J87" s="10" t="n">
        <v>0.2331</v>
      </c>
      <c r="K87" s="3"/>
    </row>
    <row r="88" customFormat="false" ht="15" hidden="false" customHeight="true" outlineLevel="0" collapsed="false">
      <c r="A88" s="3" t="s">
        <v>141</v>
      </c>
      <c r="B88" s="3" t="s">
        <v>139</v>
      </c>
      <c r="C88" s="3" t="n">
        <v>240</v>
      </c>
      <c r="D88" s="3" t="s">
        <v>17</v>
      </c>
      <c r="E88" s="3" t="s">
        <v>45</v>
      </c>
      <c r="F88" s="3" t="n">
        <v>1.39</v>
      </c>
      <c r="G88" s="10" t="n">
        <v>0.3322</v>
      </c>
      <c r="H88" s="10" t="n">
        <v>0.1054</v>
      </c>
      <c r="I88" s="10" t="n">
        <v>0.251</v>
      </c>
      <c r="J88" s="10" t="n">
        <v>0.1896</v>
      </c>
      <c r="K88" s="3" t="s">
        <v>46</v>
      </c>
    </row>
    <row r="89" customFormat="false" ht="15" hidden="false" customHeight="true" outlineLevel="0" collapsed="false">
      <c r="A89" s="3" t="s">
        <v>142</v>
      </c>
      <c r="B89" s="3" t="s">
        <v>139</v>
      </c>
      <c r="C89" s="3" t="n">
        <v>240</v>
      </c>
      <c r="D89" s="3" t="s">
        <v>17</v>
      </c>
      <c r="E89" s="3" t="s">
        <v>48</v>
      </c>
      <c r="F89" s="3" t="n">
        <v>1.85</v>
      </c>
      <c r="G89" s="10" t="n">
        <v>0.4947</v>
      </c>
      <c r="H89" s="10" t="n">
        <v>0.1475</v>
      </c>
      <c r="I89" s="10" t="n">
        <v>0.4012</v>
      </c>
      <c r="J89" s="10" t="n">
        <v>0.3198</v>
      </c>
      <c r="K89" s="3"/>
    </row>
    <row r="90" customFormat="false" ht="15" hidden="false" customHeight="true" outlineLevel="0" collapsed="false">
      <c r="A90" s="3" t="s">
        <v>143</v>
      </c>
      <c r="B90" s="3" t="s">
        <v>139</v>
      </c>
      <c r="C90" s="3" t="n">
        <v>240</v>
      </c>
      <c r="D90" s="3" t="s">
        <v>50</v>
      </c>
      <c r="E90" s="3" t="s">
        <v>41</v>
      </c>
      <c r="F90" s="3" t="n">
        <v>0.8</v>
      </c>
      <c r="G90" s="10" t="n">
        <v>0.5277</v>
      </c>
      <c r="H90" s="10" t="n">
        <v>0.1838</v>
      </c>
      <c r="I90" s="10" t="n">
        <v>0.4067</v>
      </c>
      <c r="J90" s="10" t="n">
        <v>0.3019</v>
      </c>
      <c r="K90" s="3"/>
    </row>
    <row r="91" customFormat="false" ht="15" hidden="false" customHeight="true" outlineLevel="0" collapsed="false">
      <c r="A91" s="3" t="s">
        <v>144</v>
      </c>
      <c r="B91" s="3" t="s">
        <v>139</v>
      </c>
      <c r="C91" s="3" t="n">
        <v>240</v>
      </c>
      <c r="D91" s="3" t="s">
        <v>50</v>
      </c>
      <c r="E91" s="3" t="s">
        <v>43</v>
      </c>
      <c r="F91" s="3" t="n">
        <v>1</v>
      </c>
      <c r="G91" s="10" t="n">
        <v>0.5666</v>
      </c>
      <c r="H91" s="10" t="n">
        <v>0.198</v>
      </c>
      <c r="I91" s="10" t="n">
        <v>0.4465</v>
      </c>
      <c r="J91" s="10" t="n">
        <v>0.3345</v>
      </c>
      <c r="K91" s="3"/>
    </row>
    <row r="92" customFormat="false" ht="15" hidden="false" customHeight="true" outlineLevel="0" collapsed="false">
      <c r="A92" s="3" t="s">
        <v>145</v>
      </c>
      <c r="B92" s="3" t="s">
        <v>139</v>
      </c>
      <c r="C92" s="3" t="n">
        <v>240</v>
      </c>
      <c r="D92" s="3" t="s">
        <v>50</v>
      </c>
      <c r="E92" s="3" t="s">
        <v>45</v>
      </c>
      <c r="F92" s="3" t="n">
        <v>1.39</v>
      </c>
      <c r="G92" s="10" t="n">
        <v>0.4753</v>
      </c>
      <c r="H92" s="10" t="n">
        <v>0.1787</v>
      </c>
      <c r="I92" s="10" t="n">
        <v>0.3667</v>
      </c>
      <c r="J92" s="10" t="n">
        <v>0.2631</v>
      </c>
      <c r="K92" s="3" t="s">
        <v>46</v>
      </c>
    </row>
    <row r="93" customFormat="false" ht="15" hidden="false" customHeight="true" outlineLevel="0" collapsed="false">
      <c r="A93" s="3" t="s">
        <v>146</v>
      </c>
      <c r="B93" s="3" t="s">
        <v>139</v>
      </c>
      <c r="C93" s="3" t="n">
        <v>240</v>
      </c>
      <c r="D93" s="3" t="s">
        <v>50</v>
      </c>
      <c r="E93" s="3" t="s">
        <v>48</v>
      </c>
      <c r="F93" s="3" t="n">
        <v>1.85</v>
      </c>
      <c r="G93" s="10" t="n">
        <v>0.7004</v>
      </c>
      <c r="H93" s="10" t="n">
        <v>0.2442</v>
      </c>
      <c r="I93" s="10" t="n">
        <v>0.5778</v>
      </c>
      <c r="J93" s="10" t="n">
        <v>0.4431</v>
      </c>
      <c r="K93" s="3"/>
    </row>
    <row r="94" customFormat="false" ht="15" hidden="false" customHeight="true" outlineLevel="0" collapsed="false">
      <c r="A94" s="3" t="s">
        <v>147</v>
      </c>
      <c r="B94" s="3" t="s">
        <v>139</v>
      </c>
      <c r="C94" s="3" t="n">
        <v>240</v>
      </c>
      <c r="D94" s="3" t="s">
        <v>55</v>
      </c>
      <c r="E94" s="3" t="s">
        <v>41</v>
      </c>
      <c r="F94" s="3" t="n">
        <v>0.8</v>
      </c>
      <c r="G94" s="10" t="n">
        <v>0.8362</v>
      </c>
      <c r="H94" s="10" t="n">
        <v>0.2576</v>
      </c>
      <c r="I94" s="10" t="n">
        <v>0.7305</v>
      </c>
      <c r="J94" s="10" t="n">
        <v>0.6013</v>
      </c>
      <c r="K94" s="3"/>
    </row>
    <row r="95" customFormat="false" ht="15" hidden="false" customHeight="true" outlineLevel="0" collapsed="false">
      <c r="A95" s="3" t="s">
        <v>148</v>
      </c>
      <c r="B95" s="3" t="s">
        <v>139</v>
      </c>
      <c r="C95" s="3" t="n">
        <v>240</v>
      </c>
      <c r="D95" s="3" t="s">
        <v>55</v>
      </c>
      <c r="E95" s="3" t="s">
        <v>43</v>
      </c>
      <c r="F95" s="3" t="n">
        <v>1</v>
      </c>
      <c r="G95" s="10" t="n">
        <v>0.8362</v>
      </c>
      <c r="H95" s="10" t="n">
        <v>0.2576</v>
      </c>
      <c r="I95" s="10" t="n">
        <v>0.7305</v>
      </c>
      <c r="J95" s="10" t="n">
        <v>0.6013</v>
      </c>
      <c r="K95" s="3"/>
    </row>
    <row r="96" customFormat="false" ht="15" hidden="false" customHeight="true" outlineLevel="0" collapsed="false">
      <c r="A96" s="3" t="s">
        <v>149</v>
      </c>
      <c r="B96" s="3" t="s">
        <v>139</v>
      </c>
      <c r="C96" s="3" t="n">
        <v>240</v>
      </c>
      <c r="D96" s="3" t="s">
        <v>55</v>
      </c>
      <c r="E96" s="3" t="s">
        <v>45</v>
      </c>
      <c r="F96" s="3" t="n">
        <v>1.39</v>
      </c>
      <c r="G96" s="10" t="n">
        <v>0.8362</v>
      </c>
      <c r="H96" s="10" t="n">
        <v>0.2587</v>
      </c>
      <c r="I96" s="10" t="n">
        <v>0.7317</v>
      </c>
      <c r="J96" s="10" t="n">
        <v>0.6019</v>
      </c>
      <c r="K96" s="3" t="s">
        <v>46</v>
      </c>
    </row>
    <row r="97" customFormat="false" ht="15" hidden="false" customHeight="true" outlineLevel="0" collapsed="false">
      <c r="A97" s="3" t="s">
        <v>150</v>
      </c>
      <c r="B97" s="3" t="s">
        <v>139</v>
      </c>
      <c r="C97" s="3" t="n">
        <v>240</v>
      </c>
      <c r="D97" s="3" t="s">
        <v>55</v>
      </c>
      <c r="E97" s="3" t="s">
        <v>48</v>
      </c>
      <c r="F97" s="3" t="n">
        <v>1.85</v>
      </c>
      <c r="G97" s="10" t="n">
        <v>0.8362</v>
      </c>
      <c r="H97" s="10" t="n">
        <v>0.2611</v>
      </c>
      <c r="I97" s="10" t="n">
        <v>0.7343</v>
      </c>
      <c r="J97" s="10" t="n">
        <v>0.6029</v>
      </c>
      <c r="K97" s="3"/>
    </row>
    <row r="98" customFormat="false" ht="15" hidden="false" customHeight="true" outlineLevel="0" collapsed="false">
      <c r="A98" s="3" t="s">
        <v>151</v>
      </c>
      <c r="B98" s="3" t="s">
        <v>152</v>
      </c>
      <c r="C98" s="3" t="n">
        <v>180</v>
      </c>
      <c r="D98" s="3" t="s">
        <v>17</v>
      </c>
      <c r="E98" s="3" t="s">
        <v>41</v>
      </c>
      <c r="F98" s="3" t="n">
        <v>0.8</v>
      </c>
      <c r="G98" s="10" t="n">
        <v>0.2471</v>
      </c>
      <c r="H98" s="10" t="n">
        <v>0.057</v>
      </c>
      <c r="I98" s="10" t="n">
        <v>0.1685</v>
      </c>
      <c r="J98" s="10" t="n">
        <v>0.1354</v>
      </c>
      <c r="K98" s="3"/>
    </row>
    <row r="99" customFormat="false" ht="15" hidden="false" customHeight="true" outlineLevel="0" collapsed="false">
      <c r="A99" s="3" t="s">
        <v>153</v>
      </c>
      <c r="B99" s="3" t="s">
        <v>152</v>
      </c>
      <c r="C99" s="3" t="n">
        <v>180</v>
      </c>
      <c r="D99" s="3" t="s">
        <v>17</v>
      </c>
      <c r="E99" s="3" t="s">
        <v>43</v>
      </c>
      <c r="F99" s="3" t="n">
        <v>1</v>
      </c>
      <c r="G99" s="10" t="n">
        <v>0.2555</v>
      </c>
      <c r="H99" s="10" t="n">
        <v>0.0609</v>
      </c>
      <c r="I99" s="10" t="n">
        <v>0.1779</v>
      </c>
      <c r="J99" s="10" t="n">
        <v>0.1424</v>
      </c>
      <c r="K99" s="3"/>
    </row>
    <row r="100" customFormat="false" ht="15" hidden="false" customHeight="true" outlineLevel="0" collapsed="false">
      <c r="A100" s="3" t="s">
        <v>154</v>
      </c>
      <c r="B100" s="3" t="s">
        <v>152</v>
      </c>
      <c r="C100" s="3" t="n">
        <v>180</v>
      </c>
      <c r="D100" s="3" t="s">
        <v>17</v>
      </c>
      <c r="E100" s="3" t="s">
        <v>45</v>
      </c>
      <c r="F100" s="3" t="n">
        <v>1.39</v>
      </c>
      <c r="G100" s="10" t="n">
        <v>0.2212</v>
      </c>
      <c r="H100" s="10" t="n">
        <v>0.0577</v>
      </c>
      <c r="I100" s="10" t="n">
        <v>0.1515</v>
      </c>
      <c r="J100" s="10" t="n">
        <v>0.1164</v>
      </c>
      <c r="K100" s="3" t="s">
        <v>46</v>
      </c>
    </row>
    <row r="101" customFormat="false" ht="15" hidden="false" customHeight="true" outlineLevel="0" collapsed="false">
      <c r="A101" s="3" t="s">
        <v>155</v>
      </c>
      <c r="B101" s="3" t="s">
        <v>152</v>
      </c>
      <c r="C101" s="3" t="n">
        <v>180</v>
      </c>
      <c r="D101" s="3" t="s">
        <v>17</v>
      </c>
      <c r="E101" s="3" t="s">
        <v>48</v>
      </c>
      <c r="F101" s="3" t="n">
        <v>1.85</v>
      </c>
      <c r="G101" s="10" t="n">
        <v>0.3209</v>
      </c>
      <c r="H101" s="10" t="n">
        <v>0.0795</v>
      </c>
      <c r="I101" s="10" t="n">
        <v>0.2416</v>
      </c>
      <c r="J101" s="10" t="n">
        <v>0.1952</v>
      </c>
      <c r="K101" s="3"/>
    </row>
    <row r="102" customFormat="false" ht="15" hidden="false" customHeight="true" outlineLevel="0" collapsed="false">
      <c r="A102" s="3" t="s">
        <v>156</v>
      </c>
      <c r="B102" s="3" t="s">
        <v>152</v>
      </c>
      <c r="C102" s="3" t="n">
        <v>180</v>
      </c>
      <c r="D102" s="3" t="s">
        <v>50</v>
      </c>
      <c r="E102" s="3" t="s">
        <v>41</v>
      </c>
      <c r="F102" s="3" t="n">
        <v>0.8</v>
      </c>
      <c r="G102" s="10" t="n">
        <v>0.35</v>
      </c>
      <c r="H102" s="10" t="n">
        <v>0.1058</v>
      </c>
      <c r="I102" s="10" t="n">
        <v>0.2346</v>
      </c>
      <c r="J102" s="10" t="n">
        <v>0.1694</v>
      </c>
      <c r="K102" s="3"/>
    </row>
    <row r="103" customFormat="false" ht="15" hidden="false" customHeight="true" outlineLevel="0" collapsed="false">
      <c r="A103" s="3" t="s">
        <v>157</v>
      </c>
      <c r="B103" s="3" t="s">
        <v>152</v>
      </c>
      <c r="C103" s="3" t="n">
        <v>180</v>
      </c>
      <c r="D103" s="3" t="s">
        <v>50</v>
      </c>
      <c r="E103" s="3" t="s">
        <v>43</v>
      </c>
      <c r="F103" s="3" t="n">
        <v>1</v>
      </c>
      <c r="G103" s="10" t="n">
        <v>0.3727</v>
      </c>
      <c r="H103" s="10" t="n">
        <v>0.1132</v>
      </c>
      <c r="I103" s="10" t="n">
        <v>0.2573</v>
      </c>
      <c r="J103" s="10" t="n">
        <v>0.1877</v>
      </c>
      <c r="K103" s="3"/>
    </row>
    <row r="104" customFormat="false" ht="15" hidden="false" customHeight="true" outlineLevel="0" collapsed="false">
      <c r="A104" s="3" t="s">
        <v>158</v>
      </c>
      <c r="B104" s="3" t="s">
        <v>152</v>
      </c>
      <c r="C104" s="3" t="n">
        <v>180</v>
      </c>
      <c r="D104" s="3" t="s">
        <v>50</v>
      </c>
      <c r="E104" s="3" t="s">
        <v>45</v>
      </c>
      <c r="F104" s="3" t="n">
        <v>1.39</v>
      </c>
      <c r="G104" s="10" t="n">
        <v>0.2843</v>
      </c>
      <c r="H104" s="10" t="n">
        <v>0.1003</v>
      </c>
      <c r="I104" s="10" t="n">
        <v>0.1856</v>
      </c>
      <c r="J104" s="10" t="n">
        <v>0.1219</v>
      </c>
      <c r="K104" s="3" t="s">
        <v>46</v>
      </c>
    </row>
    <row r="105" customFormat="false" ht="15" hidden="false" customHeight="true" outlineLevel="0" collapsed="false">
      <c r="A105" s="3" t="s">
        <v>159</v>
      </c>
      <c r="B105" s="3" t="s">
        <v>152</v>
      </c>
      <c r="C105" s="3" t="n">
        <v>180</v>
      </c>
      <c r="D105" s="3" t="s">
        <v>50</v>
      </c>
      <c r="E105" s="3" t="s">
        <v>48</v>
      </c>
      <c r="F105" s="3" t="n">
        <v>1.85</v>
      </c>
      <c r="G105" s="10" t="n">
        <v>0.5032</v>
      </c>
      <c r="H105" s="10" t="n">
        <v>0.1501</v>
      </c>
      <c r="I105" s="10" t="n">
        <v>0.382</v>
      </c>
      <c r="J105" s="10" t="n">
        <v>0.2914</v>
      </c>
      <c r="K105" s="3"/>
    </row>
    <row r="106" customFormat="false" ht="15" hidden="false" customHeight="true" outlineLevel="0" collapsed="false">
      <c r="A106" s="3" t="s">
        <v>160</v>
      </c>
      <c r="B106" s="3" t="s">
        <v>152</v>
      </c>
      <c r="C106" s="3" t="n">
        <v>180</v>
      </c>
      <c r="D106" s="3" t="s">
        <v>55</v>
      </c>
      <c r="E106" s="3" t="s">
        <v>41</v>
      </c>
      <c r="F106" s="3" t="n">
        <v>0.8</v>
      </c>
      <c r="G106" s="10" t="n">
        <v>0.7444</v>
      </c>
      <c r="H106" s="10" t="n">
        <v>0.1762</v>
      </c>
      <c r="I106" s="10" t="n">
        <v>0.6253</v>
      </c>
      <c r="J106" s="10" t="n">
        <v>0.531</v>
      </c>
      <c r="K106" s="3"/>
    </row>
    <row r="107" customFormat="false" ht="15" hidden="false" customHeight="true" outlineLevel="0" collapsed="false">
      <c r="A107" s="3" t="s">
        <v>161</v>
      </c>
      <c r="B107" s="3" t="s">
        <v>152</v>
      </c>
      <c r="C107" s="3" t="n">
        <v>180</v>
      </c>
      <c r="D107" s="3" t="s">
        <v>55</v>
      </c>
      <c r="E107" s="3" t="s">
        <v>43</v>
      </c>
      <c r="F107" s="3" t="n">
        <v>1</v>
      </c>
      <c r="G107" s="10" t="n">
        <v>0.7444</v>
      </c>
      <c r="H107" s="10" t="n">
        <v>0.1762</v>
      </c>
      <c r="I107" s="10" t="n">
        <v>0.6253</v>
      </c>
      <c r="J107" s="10" t="n">
        <v>0.531</v>
      </c>
      <c r="K107" s="3"/>
    </row>
    <row r="108" customFormat="false" ht="15" hidden="false" customHeight="true" outlineLevel="0" collapsed="false">
      <c r="A108" s="3" t="s">
        <v>162</v>
      </c>
      <c r="B108" s="3" t="s">
        <v>152</v>
      </c>
      <c r="C108" s="3" t="n">
        <v>180</v>
      </c>
      <c r="D108" s="3" t="s">
        <v>55</v>
      </c>
      <c r="E108" s="3" t="s">
        <v>45</v>
      </c>
      <c r="F108" s="3" t="n">
        <v>1.39</v>
      </c>
      <c r="G108" s="10" t="n">
        <v>0.7444</v>
      </c>
      <c r="H108" s="10" t="n">
        <v>0.1777</v>
      </c>
      <c r="I108" s="10" t="n">
        <v>0.627</v>
      </c>
      <c r="J108" s="10" t="n">
        <v>0.5316</v>
      </c>
      <c r="K108" s="3" t="s">
        <v>46</v>
      </c>
    </row>
    <row r="109" customFormat="false" ht="15" hidden="false" customHeight="true" outlineLevel="0" collapsed="false">
      <c r="A109" s="3" t="s">
        <v>163</v>
      </c>
      <c r="B109" s="3" t="s">
        <v>152</v>
      </c>
      <c r="C109" s="3" t="n">
        <v>180</v>
      </c>
      <c r="D109" s="3" t="s">
        <v>55</v>
      </c>
      <c r="E109" s="3" t="s">
        <v>48</v>
      </c>
      <c r="F109" s="3" t="n">
        <v>1.85</v>
      </c>
      <c r="G109" s="10" t="n">
        <v>0.7444</v>
      </c>
      <c r="H109" s="10" t="n">
        <v>0.1811</v>
      </c>
      <c r="I109" s="10" t="n">
        <v>0.6304</v>
      </c>
      <c r="J109" s="10" t="n">
        <v>0.5323</v>
      </c>
      <c r="K109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2"/>
    <col collapsed="false" customWidth="true" hidden="false" outlineLevel="0" max="3" min="3" style="1" width="10"/>
    <col collapsed="false" customWidth="true" hidden="false" outlineLevel="0" max="4" min="4" style="1" width="12"/>
    <col collapsed="false" customWidth="true" hidden="false" outlineLevel="0" max="5" min="5" style="1" width="24"/>
    <col collapsed="false" customWidth="true" hidden="false" outlineLevel="0" max="6" min="6" style="1" width="22"/>
  </cols>
  <sheetData>
    <row r="1" customFormat="false" ht="15" hidden="false" customHeight="true" outlineLevel="0" collapsed="false">
      <c r="A1" s="9" t="s">
        <v>164</v>
      </c>
      <c r="B1" s="9" t="s">
        <v>165</v>
      </c>
      <c r="C1" s="9" t="s">
        <v>166</v>
      </c>
      <c r="D1" s="9" t="s">
        <v>167</v>
      </c>
      <c r="E1" s="9" t="s">
        <v>168</v>
      </c>
      <c r="F1" s="9" t="s">
        <v>169</v>
      </c>
    </row>
    <row r="2" customFormat="false" ht="15" hidden="false" customHeight="true" outlineLevel="0" collapsed="false">
      <c r="A2" s="3" t="s">
        <v>170</v>
      </c>
      <c r="B2" s="3" t="n">
        <v>9</v>
      </c>
      <c r="C2" s="3" t="n">
        <v>1.25</v>
      </c>
      <c r="D2" s="3" t="n">
        <v>3.386</v>
      </c>
      <c r="E2" s="3" t="n">
        <v>1.847</v>
      </c>
      <c r="F2" s="3" t="s">
        <v>171</v>
      </c>
    </row>
    <row r="3" customFormat="false" ht="15" hidden="false" customHeight="true" outlineLevel="0" collapsed="false">
      <c r="A3" s="3" t="s">
        <v>172</v>
      </c>
      <c r="B3" s="3" t="n">
        <v>8</v>
      </c>
      <c r="C3" s="3" t="n">
        <v>2.19</v>
      </c>
      <c r="D3" s="3" t="n">
        <v>2.386</v>
      </c>
      <c r="E3" s="3" t="n">
        <v>1.492</v>
      </c>
      <c r="F3" s="3" t="s">
        <v>171</v>
      </c>
    </row>
    <row r="4" customFormat="false" ht="15" hidden="false" customHeight="true" outlineLevel="0" collapsed="false">
      <c r="A4" s="3" t="s">
        <v>173</v>
      </c>
      <c r="B4" s="3" t="n">
        <v>5</v>
      </c>
      <c r="C4" s="3" t="n">
        <v>1.08</v>
      </c>
      <c r="D4" s="3" t="n">
        <v>2.272</v>
      </c>
      <c r="E4" s="3" t="n">
        <v>1.452</v>
      </c>
      <c r="F4" s="3" t="s">
        <v>171</v>
      </c>
    </row>
    <row r="5" customFormat="false" ht="15" hidden="false" customHeight="true" outlineLevel="0" collapsed="false">
      <c r="A5" s="3" t="s">
        <v>174</v>
      </c>
      <c r="B5" s="3" t="n">
        <v>12</v>
      </c>
      <c r="C5" s="3" t="n">
        <v>4.68</v>
      </c>
      <c r="D5" s="3" t="n">
        <v>2.097</v>
      </c>
      <c r="E5" s="3" t="n">
        <v>1.39</v>
      </c>
      <c r="F5" s="3" t="s">
        <v>171</v>
      </c>
    </row>
    <row r="6" customFormat="false" ht="15" hidden="false" customHeight="true" outlineLevel="0" collapsed="false">
      <c r="A6" s="3" t="s">
        <v>175</v>
      </c>
      <c r="B6" s="3" t="n">
        <v>15</v>
      </c>
      <c r="C6" s="3" t="n">
        <v>7.54</v>
      </c>
      <c r="D6" s="3" t="n">
        <v>1.781</v>
      </c>
      <c r="E6" s="3" t="n">
        <v>1.277</v>
      </c>
      <c r="F6" s="3" t="s">
        <v>171</v>
      </c>
    </row>
    <row r="7" customFormat="false" ht="15" hidden="false" customHeight="true" outlineLevel="0" collapsed="false">
      <c r="A7" s="3" t="s">
        <v>176</v>
      </c>
      <c r="B7" s="3" t="n">
        <v>3</v>
      </c>
      <c r="C7" s="3" t="n">
        <v>0.83</v>
      </c>
      <c r="D7" s="3" t="n">
        <v>1.764</v>
      </c>
      <c r="E7" s="3" t="n">
        <v>1.271</v>
      </c>
      <c r="F7" s="3" t="s">
        <v>171</v>
      </c>
    </row>
    <row r="8" customFormat="false" ht="15" hidden="false" customHeight="true" outlineLevel="0" collapsed="false">
      <c r="A8" s="3" t="s">
        <v>177</v>
      </c>
      <c r="B8" s="3" t="n">
        <v>5</v>
      </c>
      <c r="C8" s="3" t="n">
        <v>2.36</v>
      </c>
      <c r="D8" s="3" t="n">
        <v>1.607</v>
      </c>
      <c r="E8" s="3" t="n">
        <v>1.215</v>
      </c>
      <c r="F8" s="3" t="s">
        <v>171</v>
      </c>
    </row>
    <row r="9" customFormat="false" ht="15" hidden="false" customHeight="true" outlineLevel="0" collapsed="false">
      <c r="A9" s="3" t="s">
        <v>178</v>
      </c>
      <c r="B9" s="3" t="n">
        <v>11</v>
      </c>
      <c r="C9" s="3" t="n">
        <v>7.06</v>
      </c>
      <c r="D9" s="3" t="n">
        <v>1.435</v>
      </c>
      <c r="E9" s="3" t="n">
        <v>1.154</v>
      </c>
      <c r="F9" s="3" t="s">
        <v>179</v>
      </c>
    </row>
    <row r="10" customFormat="false" ht="15" hidden="false" customHeight="true" outlineLevel="0" collapsed="false">
      <c r="A10" s="3" t="s">
        <v>180</v>
      </c>
      <c r="B10" s="3" t="n">
        <v>1</v>
      </c>
      <c r="C10" s="3" t="n">
        <v>0.12</v>
      </c>
      <c r="D10" s="3" t="n">
        <v>1.414</v>
      </c>
      <c r="E10" s="3" t="n">
        <v>1.147</v>
      </c>
      <c r="F10" s="3" t="s">
        <v>179</v>
      </c>
    </row>
    <row r="11" customFormat="false" ht="15" hidden="false" customHeight="true" outlineLevel="0" collapsed="false">
      <c r="A11" s="3" t="s">
        <v>181</v>
      </c>
      <c r="B11" s="3" t="n">
        <v>7</v>
      </c>
      <c r="C11" s="3" t="n">
        <v>4.57</v>
      </c>
      <c r="D11" s="3" t="n">
        <v>1.371</v>
      </c>
      <c r="E11" s="3" t="n">
        <v>1.132</v>
      </c>
      <c r="F11" s="3" t="s">
        <v>179</v>
      </c>
    </row>
    <row r="12" customFormat="false" ht="15" hidden="false" customHeight="true" outlineLevel="0" collapsed="false">
      <c r="A12" s="3" t="s">
        <v>182</v>
      </c>
      <c r="B12" s="3" t="n">
        <v>7</v>
      </c>
      <c r="C12" s="3" t="n">
        <v>4.68</v>
      </c>
      <c r="D12" s="3" t="n">
        <v>1.348</v>
      </c>
      <c r="E12" s="3" t="n">
        <v>1.123</v>
      </c>
      <c r="F12" s="3" t="s">
        <v>179</v>
      </c>
    </row>
    <row r="13" customFormat="false" ht="15" hidden="false" customHeight="true" outlineLevel="0" collapsed="false">
      <c r="A13" s="3" t="s">
        <v>183</v>
      </c>
      <c r="B13" s="3" t="n">
        <v>11</v>
      </c>
      <c r="C13" s="3" t="n">
        <v>7.76</v>
      </c>
      <c r="D13" s="3" t="n">
        <v>1.332</v>
      </c>
      <c r="E13" s="3" t="n">
        <v>1.118</v>
      </c>
      <c r="F13" s="3" t="s">
        <v>179</v>
      </c>
    </row>
    <row r="14" customFormat="false" ht="15" hidden="false" customHeight="true" outlineLevel="0" collapsed="false">
      <c r="A14" s="3" t="s">
        <v>184</v>
      </c>
      <c r="B14" s="3" t="n">
        <v>3</v>
      </c>
      <c r="C14" s="3" t="n">
        <v>1.79</v>
      </c>
      <c r="D14" s="3" t="n">
        <v>1.32</v>
      </c>
      <c r="E14" s="3" t="n">
        <v>1.114</v>
      </c>
      <c r="F14" s="3" t="s">
        <v>179</v>
      </c>
    </row>
    <row r="15" customFormat="false" ht="15" hidden="false" customHeight="true" outlineLevel="0" collapsed="false">
      <c r="A15" s="3" t="s">
        <v>185</v>
      </c>
      <c r="B15" s="3" t="n">
        <v>9</v>
      </c>
      <c r="C15" s="3" t="n">
        <v>6.48</v>
      </c>
      <c r="D15" s="3" t="n">
        <v>1.298</v>
      </c>
      <c r="E15" s="3" t="n">
        <v>1.106</v>
      </c>
      <c r="F15" s="3" t="s">
        <v>179</v>
      </c>
    </row>
    <row r="16" customFormat="false" ht="15" hidden="false" customHeight="true" outlineLevel="0" collapsed="false">
      <c r="A16" s="3" t="s">
        <v>186</v>
      </c>
      <c r="B16" s="3" t="n">
        <v>6</v>
      </c>
      <c r="C16" s="3" t="n">
        <v>4.26</v>
      </c>
      <c r="D16" s="3" t="n">
        <v>1.278</v>
      </c>
      <c r="E16" s="3" t="n">
        <v>1.099</v>
      </c>
      <c r="F16" s="3" t="s">
        <v>179</v>
      </c>
    </row>
    <row r="17" customFormat="false" ht="15" hidden="false" customHeight="true" outlineLevel="0" collapsed="false">
      <c r="A17" s="3" t="s">
        <v>187</v>
      </c>
      <c r="B17" s="3" t="n">
        <v>7</v>
      </c>
      <c r="C17" s="3" t="n">
        <v>5.68</v>
      </c>
      <c r="D17" s="3" t="n">
        <v>1.171</v>
      </c>
      <c r="E17" s="3" t="n">
        <v>1.061</v>
      </c>
      <c r="F17" s="3" t="s">
        <v>179</v>
      </c>
    </row>
    <row r="18" customFormat="false" ht="15" hidden="false" customHeight="true" outlineLevel="0" collapsed="false">
      <c r="A18" s="3" t="s">
        <v>188</v>
      </c>
      <c r="B18" s="3" t="n">
        <v>3</v>
      </c>
      <c r="C18" s="3" t="n">
        <v>2.27</v>
      </c>
      <c r="D18" s="3" t="n">
        <v>1.171</v>
      </c>
      <c r="E18" s="3" t="n">
        <v>1.061</v>
      </c>
      <c r="F18" s="3" t="s">
        <v>179</v>
      </c>
    </row>
    <row r="19" customFormat="false" ht="15" hidden="false" customHeight="true" outlineLevel="0" collapsed="false">
      <c r="A19" s="3" t="s">
        <v>189</v>
      </c>
      <c r="B19" s="3" t="n">
        <v>3</v>
      </c>
      <c r="C19" s="3" t="n">
        <v>2.39</v>
      </c>
      <c r="D19" s="3" t="n">
        <v>1.138</v>
      </c>
      <c r="E19" s="3" t="n">
        <v>1.049</v>
      </c>
      <c r="F19" s="3" t="s">
        <v>179</v>
      </c>
    </row>
    <row r="20" customFormat="false" ht="15" hidden="false" customHeight="true" outlineLevel="0" collapsed="false">
      <c r="A20" s="3" t="s">
        <v>190</v>
      </c>
      <c r="B20" s="3" t="n">
        <v>7</v>
      </c>
      <c r="C20" s="3" t="n">
        <v>6.34</v>
      </c>
      <c r="D20" s="3" t="n">
        <v>1.079</v>
      </c>
      <c r="E20" s="3" t="n">
        <v>1.028</v>
      </c>
      <c r="F20" s="3" t="s">
        <v>179</v>
      </c>
    </row>
    <row r="21" customFormat="false" ht="15" hidden="false" customHeight="true" outlineLevel="0" collapsed="false">
      <c r="A21" s="3" t="s">
        <v>191</v>
      </c>
      <c r="B21" s="3" t="n">
        <v>6</v>
      </c>
      <c r="C21" s="3" t="n">
        <v>5.44</v>
      </c>
      <c r="D21" s="3" t="n">
        <v>1.075</v>
      </c>
      <c r="E21" s="3" t="n">
        <v>1.027</v>
      </c>
      <c r="F21" s="3" t="s">
        <v>179</v>
      </c>
    </row>
    <row r="22" customFormat="false" ht="15" hidden="false" customHeight="true" outlineLevel="0" collapsed="false">
      <c r="A22" s="3" t="s">
        <v>192</v>
      </c>
      <c r="B22" s="3" t="n">
        <v>8</v>
      </c>
      <c r="C22" s="3" t="n">
        <v>7.6</v>
      </c>
      <c r="D22" s="3" t="n">
        <v>1.042</v>
      </c>
      <c r="E22" s="3" t="n">
        <v>1.015</v>
      </c>
      <c r="F22" s="3" t="s">
        <v>179</v>
      </c>
    </row>
    <row r="23" customFormat="false" ht="15" hidden="false" customHeight="true" outlineLevel="0" collapsed="false">
      <c r="A23" s="3" t="s">
        <v>193</v>
      </c>
      <c r="B23" s="3" t="n">
        <v>6</v>
      </c>
      <c r="C23" s="3" t="n">
        <v>6.06</v>
      </c>
      <c r="D23" s="3" t="n">
        <v>0.993</v>
      </c>
      <c r="E23" s="3" t="n">
        <v>0.997</v>
      </c>
      <c r="F23" s="3" t="s">
        <v>179</v>
      </c>
    </row>
    <row r="24" customFormat="false" ht="15" hidden="false" customHeight="true" outlineLevel="0" collapsed="false">
      <c r="A24" s="3" t="s">
        <v>194</v>
      </c>
      <c r="B24" s="3" t="n">
        <v>6</v>
      </c>
      <c r="C24" s="3" t="n">
        <v>6.06</v>
      </c>
      <c r="D24" s="3" t="n">
        <v>0.993</v>
      </c>
      <c r="E24" s="3" t="n">
        <v>0.997</v>
      </c>
      <c r="F24" s="3" t="s">
        <v>179</v>
      </c>
    </row>
    <row r="25" customFormat="false" ht="15" hidden="false" customHeight="true" outlineLevel="0" collapsed="false">
      <c r="A25" s="3" t="s">
        <v>195</v>
      </c>
      <c r="B25" s="3" t="n">
        <v>5</v>
      </c>
      <c r="C25" s="3" t="n">
        <v>5.5</v>
      </c>
      <c r="D25" s="3" t="n">
        <v>0.933</v>
      </c>
      <c r="E25" s="3" t="n">
        <v>0.976</v>
      </c>
      <c r="F25" s="3" t="s">
        <v>179</v>
      </c>
    </row>
    <row r="26" customFormat="false" ht="15" hidden="false" customHeight="true" outlineLevel="0" collapsed="false">
      <c r="A26" s="3" t="s">
        <v>196</v>
      </c>
      <c r="B26" s="3" t="n">
        <v>0</v>
      </c>
      <c r="C26" s="3" t="n">
        <v>0.16</v>
      </c>
      <c r="D26" s="3" t="n">
        <v>0.925</v>
      </c>
      <c r="E26" s="3" t="n">
        <v>0.973</v>
      </c>
      <c r="F26" s="3" t="s">
        <v>179</v>
      </c>
    </row>
    <row r="27" customFormat="false" ht="15" hidden="false" customHeight="true" outlineLevel="0" collapsed="false">
      <c r="A27" s="3" t="s">
        <v>197</v>
      </c>
      <c r="B27" s="3" t="n">
        <v>0</v>
      </c>
      <c r="C27" s="3" t="n">
        <v>0.22</v>
      </c>
      <c r="D27" s="3" t="n">
        <v>0.903</v>
      </c>
      <c r="E27" s="3" t="n">
        <v>0.966</v>
      </c>
      <c r="F27" s="3" t="s">
        <v>179</v>
      </c>
    </row>
    <row r="28" customFormat="false" ht="15" hidden="false" customHeight="true" outlineLevel="0" collapsed="false">
      <c r="A28" s="3" t="s">
        <v>198</v>
      </c>
      <c r="B28" s="3" t="n">
        <v>4</v>
      </c>
      <c r="C28" s="3" t="n">
        <v>4.93</v>
      </c>
      <c r="D28" s="3" t="n">
        <v>0.865</v>
      </c>
      <c r="E28" s="3" t="n">
        <v>0.952</v>
      </c>
      <c r="F28" s="3" t="s">
        <v>179</v>
      </c>
    </row>
    <row r="29" customFormat="false" ht="15" hidden="false" customHeight="true" outlineLevel="0" collapsed="false">
      <c r="A29" s="3" t="s">
        <v>199</v>
      </c>
      <c r="B29" s="3" t="n">
        <v>1</v>
      </c>
      <c r="C29" s="3" t="n">
        <v>1.6</v>
      </c>
      <c r="D29" s="3" t="n">
        <v>0.833</v>
      </c>
      <c r="E29" s="3" t="n">
        <v>0.941</v>
      </c>
      <c r="F29" s="3" t="s">
        <v>179</v>
      </c>
    </row>
    <row r="30" customFormat="false" ht="15" hidden="false" customHeight="true" outlineLevel="0" collapsed="false">
      <c r="A30" s="3" t="s">
        <v>200</v>
      </c>
      <c r="B30" s="3" t="n">
        <v>7</v>
      </c>
      <c r="C30" s="3" t="n">
        <v>8.98</v>
      </c>
      <c r="D30" s="3" t="n">
        <v>0.819</v>
      </c>
      <c r="E30" s="3" t="n">
        <v>0.936</v>
      </c>
      <c r="F30" s="3" t="s">
        <v>179</v>
      </c>
    </row>
    <row r="31" customFormat="false" ht="15" hidden="false" customHeight="true" outlineLevel="0" collapsed="false">
      <c r="A31" s="3" t="s">
        <v>201</v>
      </c>
      <c r="B31" s="3" t="n">
        <v>8</v>
      </c>
      <c r="C31" s="3" t="n">
        <v>11.02</v>
      </c>
      <c r="D31" s="3" t="n">
        <v>0.768</v>
      </c>
      <c r="E31" s="3" t="n">
        <v>0.918</v>
      </c>
      <c r="F31" s="3" t="s">
        <v>179</v>
      </c>
    </row>
    <row r="32" customFormat="false" ht="15" hidden="false" customHeight="true" outlineLevel="0" collapsed="false">
      <c r="A32" s="3" t="s">
        <v>202</v>
      </c>
      <c r="B32" s="3" t="n">
        <v>0</v>
      </c>
      <c r="C32" s="3" t="n">
        <v>0.65</v>
      </c>
      <c r="D32" s="3" t="n">
        <v>0.755</v>
      </c>
      <c r="E32" s="3" t="n">
        <v>0.913</v>
      </c>
      <c r="F32" s="3" t="s">
        <v>179</v>
      </c>
    </row>
    <row r="33" customFormat="false" ht="15" hidden="false" customHeight="true" outlineLevel="0" collapsed="false">
      <c r="A33" s="3" t="s">
        <v>203</v>
      </c>
      <c r="B33" s="3" t="n">
        <v>4</v>
      </c>
      <c r="C33" s="3" t="n">
        <v>6.16</v>
      </c>
      <c r="D33" s="3" t="n">
        <v>0.736</v>
      </c>
      <c r="E33" s="3" t="n">
        <v>0.906</v>
      </c>
      <c r="F33" s="3" t="s">
        <v>179</v>
      </c>
    </row>
    <row r="34" customFormat="false" ht="15" hidden="false" customHeight="true" outlineLevel="0" collapsed="false">
      <c r="A34" s="3" t="s">
        <v>204</v>
      </c>
      <c r="B34" s="3" t="n">
        <v>4</v>
      </c>
      <c r="C34" s="3" t="n">
        <v>6.31</v>
      </c>
      <c r="D34" s="3" t="n">
        <v>0.722</v>
      </c>
      <c r="E34" s="3" t="n">
        <v>0.901</v>
      </c>
      <c r="F34" s="3" t="s">
        <v>179</v>
      </c>
    </row>
    <row r="35" customFormat="false" ht="15" hidden="false" customHeight="true" outlineLevel="0" collapsed="false">
      <c r="A35" s="3" t="s">
        <v>205</v>
      </c>
      <c r="B35" s="3" t="n">
        <v>4</v>
      </c>
      <c r="C35" s="3" t="n">
        <v>6.31</v>
      </c>
      <c r="D35" s="3" t="n">
        <v>0.722</v>
      </c>
      <c r="E35" s="3" t="n">
        <v>0.901</v>
      </c>
      <c r="F35" s="3" t="s">
        <v>179</v>
      </c>
    </row>
    <row r="36" customFormat="false" ht="15" hidden="false" customHeight="true" outlineLevel="0" collapsed="false">
      <c r="A36" s="3" t="s">
        <v>206</v>
      </c>
      <c r="B36" s="3" t="n">
        <v>5</v>
      </c>
      <c r="C36" s="3" t="n">
        <v>8.17</v>
      </c>
      <c r="D36" s="3" t="n">
        <v>0.688</v>
      </c>
      <c r="E36" s="3" t="n">
        <v>0.889</v>
      </c>
      <c r="F36" s="3" t="s">
        <v>179</v>
      </c>
    </row>
    <row r="37" customFormat="false" ht="15" hidden="false" customHeight="true" outlineLevel="0" collapsed="false">
      <c r="A37" s="3" t="s">
        <v>207</v>
      </c>
      <c r="B37" s="3" t="n">
        <v>1</v>
      </c>
      <c r="C37" s="3" t="n">
        <v>2.44</v>
      </c>
      <c r="D37" s="3" t="n">
        <v>0.675</v>
      </c>
      <c r="E37" s="3" t="n">
        <v>0.885</v>
      </c>
      <c r="F37" s="3" t="s">
        <v>179</v>
      </c>
    </row>
    <row r="38" customFormat="false" ht="15" hidden="false" customHeight="true" outlineLevel="0" collapsed="false">
      <c r="A38" s="3" t="s">
        <v>208</v>
      </c>
      <c r="B38" s="3" t="n">
        <v>3</v>
      </c>
      <c r="C38" s="3" t="n">
        <v>5.85</v>
      </c>
      <c r="D38" s="3" t="n">
        <v>0.637</v>
      </c>
      <c r="E38" s="3" t="n">
        <v>0.871</v>
      </c>
      <c r="F38" s="3" t="s">
        <v>179</v>
      </c>
    </row>
    <row r="39" customFormat="false" ht="15" hidden="false" customHeight="true" outlineLevel="0" collapsed="false">
      <c r="A39" s="3" t="s">
        <v>209</v>
      </c>
      <c r="B39" s="3" t="n">
        <v>0</v>
      </c>
      <c r="C39" s="3" t="n">
        <v>1.27</v>
      </c>
      <c r="D39" s="3" t="n">
        <v>0.611</v>
      </c>
      <c r="E39" s="3" t="n">
        <v>0.862</v>
      </c>
      <c r="F39" s="3" t="s">
        <v>179</v>
      </c>
    </row>
    <row r="40" customFormat="false" ht="15" hidden="false" customHeight="true" outlineLevel="0" collapsed="false">
      <c r="A40" s="3" t="s">
        <v>210</v>
      </c>
      <c r="B40" s="3" t="n">
        <v>2</v>
      </c>
      <c r="C40" s="3" t="n">
        <v>4.54</v>
      </c>
      <c r="D40" s="3" t="n">
        <v>0.612</v>
      </c>
      <c r="E40" s="3" t="n">
        <v>0.862</v>
      </c>
      <c r="F40" s="3" t="s">
        <v>179</v>
      </c>
    </row>
    <row r="41" customFormat="false" ht="15" hidden="false" customHeight="true" outlineLevel="0" collapsed="false">
      <c r="A41" s="3" t="s">
        <v>211</v>
      </c>
      <c r="B41" s="3" t="n">
        <v>2</v>
      </c>
      <c r="C41" s="3" t="n">
        <v>5.84</v>
      </c>
      <c r="D41" s="3" t="n">
        <v>0.51</v>
      </c>
      <c r="E41" s="3" t="n">
        <v>0.826</v>
      </c>
      <c r="F41" s="3" t="s">
        <v>212</v>
      </c>
    </row>
    <row r="42" customFormat="false" ht="15" hidden="false" customHeight="true" outlineLevel="0" collapsed="false">
      <c r="A42" s="3" t="s">
        <v>213</v>
      </c>
      <c r="B42" s="3" t="n">
        <v>2</v>
      </c>
      <c r="C42" s="3" t="n">
        <v>5.96</v>
      </c>
      <c r="D42" s="3" t="n">
        <v>0.502</v>
      </c>
      <c r="E42" s="3" t="n">
        <v>0.823</v>
      </c>
      <c r="F42" s="3" t="s">
        <v>212</v>
      </c>
    </row>
    <row r="43" customFormat="false" ht="15" hidden="false" customHeight="true" outlineLevel="0" collapsed="false">
      <c r="A43" s="3" t="s">
        <v>214</v>
      </c>
      <c r="B43" s="3" t="n">
        <v>4</v>
      </c>
      <c r="C43" s="3" t="n">
        <v>10.66</v>
      </c>
      <c r="D43" s="3" t="n">
        <v>0.474</v>
      </c>
      <c r="E43" s="3" t="n">
        <v>0.813</v>
      </c>
      <c r="F43" s="3" t="s">
        <v>212</v>
      </c>
    </row>
    <row r="44" customFormat="false" ht="15" hidden="false" customHeight="true" outlineLevel="0" collapsed="false">
      <c r="A44" s="3" t="s">
        <v>215</v>
      </c>
      <c r="B44" s="3" t="n">
        <v>2</v>
      </c>
      <c r="C44" s="3" t="n">
        <v>6.56</v>
      </c>
      <c r="D44" s="3" t="n">
        <v>0.467</v>
      </c>
      <c r="E44" s="3" t="n">
        <v>0.811</v>
      </c>
      <c r="F44" s="3" t="s">
        <v>212</v>
      </c>
    </row>
    <row r="45" customFormat="false" ht="15" hidden="false" customHeight="true" outlineLevel="0" collapsed="false">
      <c r="A45" s="3" t="s">
        <v>216</v>
      </c>
      <c r="B45" s="3" t="n">
        <v>1</v>
      </c>
      <c r="C45" s="3" t="n">
        <v>8.32</v>
      </c>
      <c r="D45" s="3" t="n">
        <v>0.291</v>
      </c>
      <c r="E45" s="3" t="n">
        <v>0.748</v>
      </c>
      <c r="F45" s="3" t="s">
        <v>212</v>
      </c>
    </row>
    <row r="46" customFormat="false" ht="15" hidden="false" customHeight="true" outlineLevel="0" collapsed="false">
      <c r="A46" s="3" t="s">
        <v>217</v>
      </c>
      <c r="B46" s="3" t="n">
        <v>0</v>
      </c>
      <c r="C46" s="3" t="n">
        <v>6.05</v>
      </c>
      <c r="D46" s="3" t="n">
        <v>0.248</v>
      </c>
      <c r="E46" s="3" t="n">
        <v>0.733</v>
      </c>
      <c r="F46" s="3" t="s">
        <v>212</v>
      </c>
    </row>
    <row r="48" customFormat="false" ht="15" hidden="false" customHeight="true" outlineLevel="0" collapsed="false">
      <c r="A48" s="3" t="s">
        <v>218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2026-07-25T02:26:53Z</dcterms:created>
  <dc:creator>openpyxl</dc:creator>
  <dc:description/>
  <dc:language>en-US</dc:language>
  <cp:lastModifiedBy/>
  <dcterms:modified xsi:type="dcterms:W3CDTF">2026-07-25T03:42:19Z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