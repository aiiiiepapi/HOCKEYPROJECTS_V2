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RICES" sheetId="2" state="visible" r:id="rId4"/>
    <sheet name="LOOKUP" sheetId="3" state="visible" r:id="rId5"/>
    <sheet name="COACH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<sst xmlns="http://schemas.openxmlformats.org/spreadsheetml/2006/main" count="2111" uniqueCount="813">
  <si>
    <t xml:space="preserve">3MAPGOT CALCULATOR v2.3 — per-second 10%-EV lines (built from dense MC grid, n=30k, seed 7)</t>
  </si>
  <si>
    <t xml:space="preserve">Provenance: fits.json (both seasons, exposure-based), coach attenuation 0.355, context multipliers home 1.34 / fav 1.07 / dog 0.64.</t>
  </si>
  <si>
    <t xml:space="preserve">WHAT'S NEW (Seb rulings 2026-07-25):</t>
  </si>
  <si>
    <t xml:space="preserve">- Any time between 3:00 and 15:00 accepted (bilinear interpolation on a 20-second mesh).</t>
  </si>
  <si>
    <t xml:space="preserve">- LINE output per market: the American line at which the bet clears the edge in cell D8 (default +10% EV). Bet only at that number or better.</t>
  </si>
  <si>
    <t xml:space="preserve">- Coach policy: NO stake mandates. Coaches with &lt;5 real chances are flagged RISKY in COACHES col G — your sizing call.</t>
  </si>
  <si>
    <t xml:space="preserve">- Status: NO-GO for real money (Seb). This is a research/paper tool until 99% confidence.</t>
  </si>
  <si>
    <t xml:space="preserve">VALIDATION (blind 25-26, betting EVERY spot at the exact 10%-EV line, game-cluster CIs):</t>
  </si>
  <si>
    <t xml:space="preserve">- leader TT over: realized ROI +30.7%, CI [+15.8%, +46.8%] — PROVEN &gt;10%</t>
  </si>
  <si>
    <t xml:space="preserve">- game total over: realized ROI +14.2%, CI [+3.6%, +25.5%] — positive, 10% not proven</t>
  </si>
  <si>
    <t xml:space="preserve">- leader -3.5: realized ROI +14.9%, CI [-3.7%, +34.3%] — CI includes 0: treat edges as optimistic</t>
  </si>
  <si>
    <t xml:space="preserve">STANDING WARNINGS:</t>
  </si>
  <si>
    <t xml:space="preserve">- Leader market: model runs ~5pts LOW (under investigation). Overs ONLY — never bet leader-market unders off this sheet.</t>
  </si>
  <si>
    <t xml:space="preserve">- WITHDRAWN: 2+ more goals while net is ALREADY empty. Model overshoots that corner; do not bet it (docs/WITHDRAWN_MARKETS.md).</t>
  </si>
  <si>
    <t xml:space="preserve">- Low-tail coaches (Huska, Tortorella, McLellan): home/fav context multipliers do NOT apply — enter 'n'/'even' for them.</t>
  </si>
  <si>
    <t xml:space="preserve">- Timing: Roy-type late pullers shift the curve; production shifts applied in the fits, not user-adjustable here.</t>
  </si>
  <si>
    <t xml:space="preserve">key</t>
  </si>
  <si>
    <t xml:space="preserve">R</t>
  </si>
  <si>
    <t xml:space="preserve">time</t>
  </si>
  <si>
    <t xml:space="preserve">state</t>
  </si>
  <si>
    <t xml:space="preserve">tier</t>
  </si>
  <si>
    <t xml:space="preserve">P_total_ge1</t>
  </si>
  <si>
    <t xml:space="preserve">P_total_ge2</t>
  </si>
  <si>
    <t xml:space="preserve">P_leader_ge1</t>
  </si>
  <si>
    <t xml:space="preserve">P_margin_ge4</t>
  </si>
  <si>
    <t xml:space="preserve">P_leader_ge2</t>
  </si>
  <si>
    <t xml:space="preserve">900|not_pulled_EV|0.55</t>
  </si>
  <si>
    <t xml:space="preserve">15:00</t>
  </si>
  <si>
    <t xml:space="preserve">not_pulled_EV</t>
  </si>
  <si>
    <t xml:space="preserve">900|not_pulled_EV|0.80</t>
  </si>
  <si>
    <t xml:space="preserve">900|not_pulled_EV|1.00</t>
  </si>
  <si>
    <t xml:space="preserve">900|not_pulled_EV|1.30</t>
  </si>
  <si>
    <t xml:space="preserve">900|not_pulled_EV|1.85</t>
  </si>
  <si>
    <t xml:space="preserve">900|not_pulled_EV|2.40</t>
  </si>
  <si>
    <t xml:space="preserve">900|not_pulled_PP|0.55</t>
  </si>
  <si>
    <t xml:space="preserve">not_pulled_PP</t>
  </si>
  <si>
    <t xml:space="preserve">900|not_pulled_PP|0.80</t>
  </si>
  <si>
    <t xml:space="preserve">900|not_pulled_PP|1.00</t>
  </si>
  <si>
    <t xml:space="preserve">900|not_pulled_PP|1.30</t>
  </si>
  <si>
    <t xml:space="preserve">900|not_pulled_PP|1.85</t>
  </si>
  <si>
    <t xml:space="preserve">900|not_pulled_PP|2.40</t>
  </si>
  <si>
    <t xml:space="preserve">900|pulled|0.55</t>
  </si>
  <si>
    <t xml:space="preserve">pulled</t>
  </si>
  <si>
    <t xml:space="preserve">900|pulled|0.80</t>
  </si>
  <si>
    <t xml:space="preserve">900|pulled|1.00</t>
  </si>
  <si>
    <t xml:space="preserve">900|pulled|1.30</t>
  </si>
  <si>
    <t xml:space="preserve">900|pulled|1.85</t>
  </si>
  <si>
    <t xml:space="preserve">900|pulled|2.40</t>
  </si>
  <si>
    <t xml:space="preserve">880|not_pulled_EV|0.55</t>
  </si>
  <si>
    <t xml:space="preserve">14:40</t>
  </si>
  <si>
    <t xml:space="preserve">880|not_pulled_EV|0.80</t>
  </si>
  <si>
    <t xml:space="preserve">880|not_pulled_EV|1.00</t>
  </si>
  <si>
    <t xml:space="preserve">880|not_pulled_EV|1.30</t>
  </si>
  <si>
    <t xml:space="preserve">880|not_pulled_EV|1.85</t>
  </si>
  <si>
    <t xml:space="preserve">880|not_pulled_EV|2.40</t>
  </si>
  <si>
    <t xml:space="preserve">880|not_pulled_PP|0.55</t>
  </si>
  <si>
    <t xml:space="preserve">880|not_pulled_PP|0.80</t>
  </si>
  <si>
    <t xml:space="preserve">880|not_pulled_PP|1.00</t>
  </si>
  <si>
    <t xml:space="preserve">880|not_pulled_PP|1.30</t>
  </si>
  <si>
    <t xml:space="preserve">880|not_pulled_PP|1.85</t>
  </si>
  <si>
    <t xml:space="preserve">880|not_pulled_PP|2.40</t>
  </si>
  <si>
    <t xml:space="preserve">880|pulled|0.55</t>
  </si>
  <si>
    <t xml:space="preserve">880|pulled|0.80</t>
  </si>
  <si>
    <t xml:space="preserve">880|pulled|1.00</t>
  </si>
  <si>
    <t xml:space="preserve">880|pulled|1.30</t>
  </si>
  <si>
    <t xml:space="preserve">880|pulled|1.85</t>
  </si>
  <si>
    <t xml:space="preserve">880|pulled|2.40</t>
  </si>
  <si>
    <t xml:space="preserve">860|not_pulled_EV|0.55</t>
  </si>
  <si>
    <t xml:space="preserve">14:20</t>
  </si>
  <si>
    <t xml:space="preserve">860|not_pulled_EV|0.80</t>
  </si>
  <si>
    <t xml:space="preserve">860|not_pulled_EV|1.00</t>
  </si>
  <si>
    <t xml:space="preserve">860|not_pulled_EV|1.30</t>
  </si>
  <si>
    <t xml:space="preserve">860|not_pulled_EV|1.85</t>
  </si>
  <si>
    <t xml:space="preserve">860|not_pulled_EV|2.40</t>
  </si>
  <si>
    <t xml:space="preserve">860|not_pulled_PP|0.55</t>
  </si>
  <si>
    <t xml:space="preserve">860|not_pulled_PP|0.80</t>
  </si>
  <si>
    <t xml:space="preserve">860|not_pulled_PP|1.00</t>
  </si>
  <si>
    <t xml:space="preserve">860|not_pulled_PP|1.30</t>
  </si>
  <si>
    <t xml:space="preserve">860|not_pulled_PP|1.85</t>
  </si>
  <si>
    <t xml:space="preserve">860|not_pulled_PP|2.40</t>
  </si>
  <si>
    <t xml:space="preserve">860|pulled|0.55</t>
  </si>
  <si>
    <t xml:space="preserve">860|pulled|0.80</t>
  </si>
  <si>
    <t xml:space="preserve">860|pulled|1.00</t>
  </si>
  <si>
    <t xml:space="preserve">860|pulled|1.30</t>
  </si>
  <si>
    <t xml:space="preserve">860|pulled|1.85</t>
  </si>
  <si>
    <t xml:space="preserve">860|pulled|2.40</t>
  </si>
  <si>
    <t xml:space="preserve">840|not_pulled_EV|0.55</t>
  </si>
  <si>
    <t xml:space="preserve">14:00</t>
  </si>
  <si>
    <t xml:space="preserve">840|not_pulled_EV|0.80</t>
  </si>
  <si>
    <t xml:space="preserve">840|not_pulled_EV|1.00</t>
  </si>
  <si>
    <t xml:space="preserve">840|not_pulled_EV|1.30</t>
  </si>
  <si>
    <t xml:space="preserve">840|not_pulled_EV|1.85</t>
  </si>
  <si>
    <t xml:space="preserve">840|not_pulled_EV|2.40</t>
  </si>
  <si>
    <t xml:space="preserve">840|not_pulled_PP|0.55</t>
  </si>
  <si>
    <t xml:space="preserve">840|not_pulled_PP|0.80</t>
  </si>
  <si>
    <t xml:space="preserve">840|not_pulled_PP|1.00</t>
  </si>
  <si>
    <t xml:space="preserve">840|not_pulled_PP|1.30</t>
  </si>
  <si>
    <t xml:space="preserve">840|not_pulled_PP|1.85</t>
  </si>
  <si>
    <t xml:space="preserve">840|not_pulled_PP|2.40</t>
  </si>
  <si>
    <t xml:space="preserve">840|pulled|0.55</t>
  </si>
  <si>
    <t xml:space="preserve">840|pulled|0.80</t>
  </si>
  <si>
    <t xml:space="preserve">840|pulled|1.00</t>
  </si>
  <si>
    <t xml:space="preserve">840|pulled|1.30</t>
  </si>
  <si>
    <t xml:space="preserve">840|pulled|1.85</t>
  </si>
  <si>
    <t xml:space="preserve">840|pulled|2.40</t>
  </si>
  <si>
    <t xml:space="preserve">820|not_pulled_EV|0.55</t>
  </si>
  <si>
    <t xml:space="preserve">13:40</t>
  </si>
  <si>
    <t xml:space="preserve">820|not_pulled_EV|0.80</t>
  </si>
  <si>
    <t xml:space="preserve">820|not_pulled_EV|1.00</t>
  </si>
  <si>
    <t xml:space="preserve">820|not_pulled_EV|1.30</t>
  </si>
  <si>
    <t xml:space="preserve">820|not_pulled_EV|1.85</t>
  </si>
  <si>
    <t xml:space="preserve">820|not_pulled_EV|2.40</t>
  </si>
  <si>
    <t xml:space="preserve">820|not_pulled_PP|0.55</t>
  </si>
  <si>
    <t xml:space="preserve">820|not_pulled_PP|0.80</t>
  </si>
  <si>
    <t xml:space="preserve">820|not_pulled_PP|1.00</t>
  </si>
  <si>
    <t xml:space="preserve">820|not_pulled_PP|1.30</t>
  </si>
  <si>
    <t xml:space="preserve">820|not_pulled_PP|1.85</t>
  </si>
  <si>
    <t xml:space="preserve">820|not_pulled_PP|2.40</t>
  </si>
  <si>
    <t xml:space="preserve">820|pulled|0.55</t>
  </si>
  <si>
    <t xml:space="preserve">820|pulled|0.80</t>
  </si>
  <si>
    <t xml:space="preserve">820|pulled|1.00</t>
  </si>
  <si>
    <t xml:space="preserve">820|pulled|1.30</t>
  </si>
  <si>
    <t xml:space="preserve">820|pulled|1.85</t>
  </si>
  <si>
    <t xml:space="preserve">820|pulled|2.40</t>
  </si>
  <si>
    <t xml:space="preserve">800|not_pulled_EV|0.55</t>
  </si>
  <si>
    <t xml:space="preserve">13:20</t>
  </si>
  <si>
    <t xml:space="preserve">800|not_pulled_EV|0.80</t>
  </si>
  <si>
    <t xml:space="preserve">800|not_pulled_EV|1.00</t>
  </si>
  <si>
    <t xml:space="preserve">800|not_pulled_EV|1.30</t>
  </si>
  <si>
    <t xml:space="preserve">800|not_pulled_EV|1.85</t>
  </si>
  <si>
    <t xml:space="preserve">800|not_pulled_EV|2.40</t>
  </si>
  <si>
    <t xml:space="preserve">800|not_pulled_PP|0.55</t>
  </si>
  <si>
    <t xml:space="preserve">800|not_pulled_PP|0.80</t>
  </si>
  <si>
    <t xml:space="preserve">800|not_pulled_PP|1.00</t>
  </si>
  <si>
    <t xml:space="preserve">800|not_pulled_PP|1.30</t>
  </si>
  <si>
    <t xml:space="preserve">800|not_pulled_PP|1.85</t>
  </si>
  <si>
    <t xml:space="preserve">800|not_pulled_PP|2.40</t>
  </si>
  <si>
    <t xml:space="preserve">800|pulled|0.55</t>
  </si>
  <si>
    <t xml:space="preserve">800|pulled|0.80</t>
  </si>
  <si>
    <t xml:space="preserve">800|pulled|1.00</t>
  </si>
  <si>
    <t xml:space="preserve">800|pulled|1.30</t>
  </si>
  <si>
    <t xml:space="preserve">800|pulled|1.85</t>
  </si>
  <si>
    <t xml:space="preserve">800|pulled|2.40</t>
  </si>
  <si>
    <t xml:space="preserve">780|not_pulled_EV|0.55</t>
  </si>
  <si>
    <t xml:space="preserve">13:00</t>
  </si>
  <si>
    <t xml:space="preserve">780|not_pulled_EV|0.80</t>
  </si>
  <si>
    <t xml:space="preserve">780|not_pulled_EV|1.00</t>
  </si>
  <si>
    <t xml:space="preserve">780|not_pulled_EV|1.30</t>
  </si>
  <si>
    <t xml:space="preserve">780|not_pulled_EV|1.85</t>
  </si>
  <si>
    <t xml:space="preserve">780|not_pulled_EV|2.40</t>
  </si>
  <si>
    <t xml:space="preserve">780|not_pulled_PP|0.55</t>
  </si>
  <si>
    <t xml:space="preserve">780|not_pulled_PP|0.80</t>
  </si>
  <si>
    <t xml:space="preserve">780|not_pulled_PP|1.00</t>
  </si>
  <si>
    <t xml:space="preserve">780|not_pulled_PP|1.30</t>
  </si>
  <si>
    <t xml:space="preserve">780|not_pulled_PP|1.85</t>
  </si>
  <si>
    <t xml:space="preserve">780|not_pulled_PP|2.40</t>
  </si>
  <si>
    <t xml:space="preserve">780|pulled|0.55</t>
  </si>
  <si>
    <t xml:space="preserve">780|pulled|0.80</t>
  </si>
  <si>
    <t xml:space="preserve">780|pulled|1.00</t>
  </si>
  <si>
    <t xml:space="preserve">780|pulled|1.30</t>
  </si>
  <si>
    <t xml:space="preserve">780|pulled|1.85</t>
  </si>
  <si>
    <t xml:space="preserve">780|pulled|2.40</t>
  </si>
  <si>
    <t xml:space="preserve">760|not_pulled_EV|0.55</t>
  </si>
  <si>
    <t xml:space="preserve">12:40</t>
  </si>
  <si>
    <t xml:space="preserve">760|not_pulled_EV|0.80</t>
  </si>
  <si>
    <t xml:space="preserve">760|not_pulled_EV|1.00</t>
  </si>
  <si>
    <t xml:space="preserve">760|not_pulled_EV|1.30</t>
  </si>
  <si>
    <t xml:space="preserve">760|not_pulled_EV|1.85</t>
  </si>
  <si>
    <t xml:space="preserve">760|not_pulled_EV|2.40</t>
  </si>
  <si>
    <t xml:space="preserve">760|not_pulled_PP|0.55</t>
  </si>
  <si>
    <t xml:space="preserve">760|not_pulled_PP|0.80</t>
  </si>
  <si>
    <t xml:space="preserve">760|not_pulled_PP|1.00</t>
  </si>
  <si>
    <t xml:space="preserve">760|not_pulled_PP|1.30</t>
  </si>
  <si>
    <t xml:space="preserve">760|not_pulled_PP|1.85</t>
  </si>
  <si>
    <t xml:space="preserve">760|not_pulled_PP|2.40</t>
  </si>
  <si>
    <t xml:space="preserve">760|pulled|0.55</t>
  </si>
  <si>
    <t xml:space="preserve">760|pulled|0.80</t>
  </si>
  <si>
    <t xml:space="preserve">760|pulled|1.00</t>
  </si>
  <si>
    <t xml:space="preserve">760|pulled|1.30</t>
  </si>
  <si>
    <t xml:space="preserve">760|pulled|1.85</t>
  </si>
  <si>
    <t xml:space="preserve">760|pulled|2.40</t>
  </si>
  <si>
    <t xml:space="preserve">740|not_pulled_EV|0.55</t>
  </si>
  <si>
    <t xml:space="preserve">12:20</t>
  </si>
  <si>
    <t xml:space="preserve">740|not_pulled_EV|0.80</t>
  </si>
  <si>
    <t xml:space="preserve">740|not_pulled_EV|1.00</t>
  </si>
  <si>
    <t xml:space="preserve">740|not_pulled_EV|1.30</t>
  </si>
  <si>
    <t xml:space="preserve">740|not_pulled_EV|1.85</t>
  </si>
  <si>
    <t xml:space="preserve">740|not_pulled_EV|2.40</t>
  </si>
  <si>
    <t xml:space="preserve">740|not_pulled_PP|0.55</t>
  </si>
  <si>
    <t xml:space="preserve">740|not_pulled_PP|0.80</t>
  </si>
  <si>
    <t xml:space="preserve">740|not_pulled_PP|1.00</t>
  </si>
  <si>
    <t xml:space="preserve">740|not_pulled_PP|1.30</t>
  </si>
  <si>
    <t xml:space="preserve">740|not_pulled_PP|1.85</t>
  </si>
  <si>
    <t xml:space="preserve">740|not_pulled_PP|2.40</t>
  </si>
  <si>
    <t xml:space="preserve">740|pulled|0.55</t>
  </si>
  <si>
    <t xml:space="preserve">740|pulled|0.80</t>
  </si>
  <si>
    <t xml:space="preserve">740|pulled|1.00</t>
  </si>
  <si>
    <t xml:space="preserve">740|pulled|1.30</t>
  </si>
  <si>
    <t xml:space="preserve">740|pulled|1.85</t>
  </si>
  <si>
    <t xml:space="preserve">740|pulled|2.40</t>
  </si>
  <si>
    <t xml:space="preserve">720|not_pulled_EV|0.55</t>
  </si>
  <si>
    <t xml:space="preserve">12:00</t>
  </si>
  <si>
    <t xml:space="preserve">720|not_pulled_EV|0.80</t>
  </si>
  <si>
    <t xml:space="preserve">720|not_pulled_EV|1.00</t>
  </si>
  <si>
    <t xml:space="preserve">720|not_pulled_EV|1.30</t>
  </si>
  <si>
    <t xml:space="preserve">720|not_pulled_EV|1.85</t>
  </si>
  <si>
    <t xml:space="preserve">720|not_pulled_EV|2.40</t>
  </si>
  <si>
    <t xml:space="preserve">720|not_pulled_PP|0.55</t>
  </si>
  <si>
    <t xml:space="preserve">720|not_pulled_PP|0.80</t>
  </si>
  <si>
    <t xml:space="preserve">720|not_pulled_PP|1.00</t>
  </si>
  <si>
    <t xml:space="preserve">720|not_pulled_PP|1.30</t>
  </si>
  <si>
    <t xml:space="preserve">720|not_pulled_PP|1.85</t>
  </si>
  <si>
    <t xml:space="preserve">720|not_pulled_PP|2.40</t>
  </si>
  <si>
    <t xml:space="preserve">720|pulled|0.55</t>
  </si>
  <si>
    <t xml:space="preserve">720|pulled|0.80</t>
  </si>
  <si>
    <t xml:space="preserve">720|pulled|1.00</t>
  </si>
  <si>
    <t xml:space="preserve">720|pulled|1.30</t>
  </si>
  <si>
    <t xml:space="preserve">720|pulled|1.85</t>
  </si>
  <si>
    <t xml:space="preserve">720|pulled|2.40</t>
  </si>
  <si>
    <t xml:space="preserve">700|not_pulled_EV|0.55</t>
  </si>
  <si>
    <t xml:space="preserve">11:40</t>
  </si>
  <si>
    <t xml:space="preserve">700|not_pulled_EV|0.80</t>
  </si>
  <si>
    <t xml:space="preserve">700|not_pulled_EV|1.00</t>
  </si>
  <si>
    <t xml:space="preserve">700|not_pulled_EV|1.30</t>
  </si>
  <si>
    <t xml:space="preserve">700|not_pulled_EV|1.85</t>
  </si>
  <si>
    <t xml:space="preserve">700|not_pulled_EV|2.40</t>
  </si>
  <si>
    <t xml:space="preserve">700|not_pulled_PP|0.55</t>
  </si>
  <si>
    <t xml:space="preserve">700|not_pulled_PP|0.80</t>
  </si>
  <si>
    <t xml:space="preserve">700|not_pulled_PP|1.00</t>
  </si>
  <si>
    <t xml:space="preserve">700|not_pulled_PP|1.30</t>
  </si>
  <si>
    <t xml:space="preserve">700|not_pulled_PP|1.85</t>
  </si>
  <si>
    <t xml:space="preserve">700|not_pulled_PP|2.40</t>
  </si>
  <si>
    <t xml:space="preserve">700|pulled|0.55</t>
  </si>
  <si>
    <t xml:space="preserve">700|pulled|0.80</t>
  </si>
  <si>
    <t xml:space="preserve">700|pulled|1.00</t>
  </si>
  <si>
    <t xml:space="preserve">700|pulled|1.30</t>
  </si>
  <si>
    <t xml:space="preserve">700|pulled|1.85</t>
  </si>
  <si>
    <t xml:space="preserve">700|pulled|2.40</t>
  </si>
  <si>
    <t xml:space="preserve">680|not_pulled_EV|0.55</t>
  </si>
  <si>
    <t xml:space="preserve">11:20</t>
  </si>
  <si>
    <t xml:space="preserve">680|not_pulled_EV|0.80</t>
  </si>
  <si>
    <t xml:space="preserve">680|not_pulled_EV|1.00</t>
  </si>
  <si>
    <t xml:space="preserve">680|not_pulled_EV|1.30</t>
  </si>
  <si>
    <t xml:space="preserve">680|not_pulled_EV|1.85</t>
  </si>
  <si>
    <t xml:space="preserve">680|not_pulled_EV|2.40</t>
  </si>
  <si>
    <t xml:space="preserve">680|not_pulled_PP|0.55</t>
  </si>
  <si>
    <t xml:space="preserve">680|not_pulled_PP|0.80</t>
  </si>
  <si>
    <t xml:space="preserve">680|not_pulled_PP|1.00</t>
  </si>
  <si>
    <t xml:space="preserve">680|not_pulled_PP|1.30</t>
  </si>
  <si>
    <t xml:space="preserve">680|not_pulled_PP|1.85</t>
  </si>
  <si>
    <t xml:space="preserve">680|not_pulled_PP|2.40</t>
  </si>
  <si>
    <t xml:space="preserve">680|pulled|0.55</t>
  </si>
  <si>
    <t xml:space="preserve">680|pulled|0.80</t>
  </si>
  <si>
    <t xml:space="preserve">680|pulled|1.00</t>
  </si>
  <si>
    <t xml:space="preserve">680|pulled|1.30</t>
  </si>
  <si>
    <t xml:space="preserve">680|pulled|1.85</t>
  </si>
  <si>
    <t xml:space="preserve">680|pulled|2.40</t>
  </si>
  <si>
    <t xml:space="preserve">660|not_pulled_EV|0.55</t>
  </si>
  <si>
    <t xml:space="preserve">11:00</t>
  </si>
  <si>
    <t xml:space="preserve">660|not_pulled_EV|0.80</t>
  </si>
  <si>
    <t xml:space="preserve">660|not_pulled_EV|1.00</t>
  </si>
  <si>
    <t xml:space="preserve">660|not_pulled_EV|1.30</t>
  </si>
  <si>
    <t xml:space="preserve">660|not_pulled_EV|1.85</t>
  </si>
  <si>
    <t xml:space="preserve">660|not_pulled_EV|2.40</t>
  </si>
  <si>
    <t xml:space="preserve">660|not_pulled_PP|0.55</t>
  </si>
  <si>
    <t xml:space="preserve">660|not_pulled_PP|0.80</t>
  </si>
  <si>
    <t xml:space="preserve">660|not_pulled_PP|1.00</t>
  </si>
  <si>
    <t xml:space="preserve">660|not_pulled_PP|1.30</t>
  </si>
  <si>
    <t xml:space="preserve">660|not_pulled_PP|1.85</t>
  </si>
  <si>
    <t xml:space="preserve">660|not_pulled_PP|2.40</t>
  </si>
  <si>
    <t xml:space="preserve">660|pulled|0.55</t>
  </si>
  <si>
    <t xml:space="preserve">660|pulled|0.80</t>
  </si>
  <si>
    <t xml:space="preserve">660|pulled|1.00</t>
  </si>
  <si>
    <t xml:space="preserve">660|pulled|1.30</t>
  </si>
  <si>
    <t xml:space="preserve">660|pulled|1.85</t>
  </si>
  <si>
    <t xml:space="preserve">660|pulled|2.40</t>
  </si>
  <si>
    <t xml:space="preserve">640|not_pulled_EV|0.55</t>
  </si>
  <si>
    <t xml:space="preserve">10:40</t>
  </si>
  <si>
    <t xml:space="preserve">640|not_pulled_EV|0.80</t>
  </si>
  <si>
    <t xml:space="preserve">640|not_pulled_EV|1.00</t>
  </si>
  <si>
    <t xml:space="preserve">640|not_pulled_EV|1.30</t>
  </si>
  <si>
    <t xml:space="preserve">640|not_pulled_EV|1.85</t>
  </si>
  <si>
    <t xml:space="preserve">640|not_pulled_EV|2.40</t>
  </si>
  <si>
    <t xml:space="preserve">640|not_pulled_PP|0.55</t>
  </si>
  <si>
    <t xml:space="preserve">640|not_pulled_PP|0.80</t>
  </si>
  <si>
    <t xml:space="preserve">640|not_pulled_PP|1.00</t>
  </si>
  <si>
    <t xml:space="preserve">640|not_pulled_PP|1.30</t>
  </si>
  <si>
    <t xml:space="preserve">640|not_pulled_PP|1.85</t>
  </si>
  <si>
    <t xml:space="preserve">640|not_pulled_PP|2.40</t>
  </si>
  <si>
    <t xml:space="preserve">640|pulled|0.55</t>
  </si>
  <si>
    <t xml:space="preserve">640|pulled|0.80</t>
  </si>
  <si>
    <t xml:space="preserve">640|pulled|1.00</t>
  </si>
  <si>
    <t xml:space="preserve">640|pulled|1.30</t>
  </si>
  <si>
    <t xml:space="preserve">640|pulled|1.85</t>
  </si>
  <si>
    <t xml:space="preserve">640|pulled|2.40</t>
  </si>
  <si>
    <t xml:space="preserve">620|not_pulled_EV|0.55</t>
  </si>
  <si>
    <t xml:space="preserve">10:20</t>
  </si>
  <si>
    <t xml:space="preserve">620|not_pulled_EV|0.80</t>
  </si>
  <si>
    <t xml:space="preserve">620|not_pulled_EV|1.00</t>
  </si>
  <si>
    <t xml:space="preserve">620|not_pulled_EV|1.30</t>
  </si>
  <si>
    <t xml:space="preserve">620|not_pulled_EV|1.85</t>
  </si>
  <si>
    <t xml:space="preserve">620|not_pulled_EV|2.40</t>
  </si>
  <si>
    <t xml:space="preserve">620|not_pulled_PP|0.55</t>
  </si>
  <si>
    <t xml:space="preserve">620|not_pulled_PP|0.80</t>
  </si>
  <si>
    <t xml:space="preserve">620|not_pulled_PP|1.00</t>
  </si>
  <si>
    <t xml:space="preserve">620|not_pulled_PP|1.30</t>
  </si>
  <si>
    <t xml:space="preserve">620|not_pulled_PP|1.85</t>
  </si>
  <si>
    <t xml:space="preserve">620|not_pulled_PP|2.40</t>
  </si>
  <si>
    <t xml:space="preserve">620|pulled|0.55</t>
  </si>
  <si>
    <t xml:space="preserve">620|pulled|0.80</t>
  </si>
  <si>
    <t xml:space="preserve">620|pulled|1.00</t>
  </si>
  <si>
    <t xml:space="preserve">620|pulled|1.30</t>
  </si>
  <si>
    <t xml:space="preserve">620|pulled|1.85</t>
  </si>
  <si>
    <t xml:space="preserve">620|pulled|2.40</t>
  </si>
  <si>
    <t xml:space="preserve">600|not_pulled_EV|0.55</t>
  </si>
  <si>
    <t xml:space="preserve">10:00</t>
  </si>
  <si>
    <t xml:space="preserve">600|not_pulled_EV|0.80</t>
  </si>
  <si>
    <t xml:space="preserve">600|not_pulled_EV|1.00</t>
  </si>
  <si>
    <t xml:space="preserve">600|not_pulled_EV|1.30</t>
  </si>
  <si>
    <t xml:space="preserve">600|not_pulled_EV|1.85</t>
  </si>
  <si>
    <t xml:space="preserve">600|not_pulled_EV|2.40</t>
  </si>
  <si>
    <t xml:space="preserve">600|not_pulled_PP|0.55</t>
  </si>
  <si>
    <t xml:space="preserve">600|not_pulled_PP|0.80</t>
  </si>
  <si>
    <t xml:space="preserve">600|not_pulled_PP|1.00</t>
  </si>
  <si>
    <t xml:space="preserve">600|not_pulled_PP|1.30</t>
  </si>
  <si>
    <t xml:space="preserve">600|not_pulled_PP|1.85</t>
  </si>
  <si>
    <t xml:space="preserve">600|not_pulled_PP|2.40</t>
  </si>
  <si>
    <t xml:space="preserve">600|pulled|0.55</t>
  </si>
  <si>
    <t xml:space="preserve">600|pulled|0.80</t>
  </si>
  <si>
    <t xml:space="preserve">600|pulled|1.00</t>
  </si>
  <si>
    <t xml:space="preserve">600|pulled|1.30</t>
  </si>
  <si>
    <t xml:space="preserve">600|pulled|1.85</t>
  </si>
  <si>
    <t xml:space="preserve">600|pulled|2.40</t>
  </si>
  <si>
    <t xml:space="preserve">580|not_pulled_EV|0.55</t>
  </si>
  <si>
    <t xml:space="preserve">9:40</t>
  </si>
  <si>
    <t xml:space="preserve">580|not_pulled_EV|0.80</t>
  </si>
  <si>
    <t xml:space="preserve">580|not_pulled_EV|1.00</t>
  </si>
  <si>
    <t xml:space="preserve">580|not_pulled_EV|1.30</t>
  </si>
  <si>
    <t xml:space="preserve">580|not_pulled_EV|1.85</t>
  </si>
  <si>
    <t xml:space="preserve">580|not_pulled_EV|2.40</t>
  </si>
  <si>
    <t xml:space="preserve">580|not_pulled_PP|0.55</t>
  </si>
  <si>
    <t xml:space="preserve">580|not_pulled_PP|0.80</t>
  </si>
  <si>
    <t xml:space="preserve">580|not_pulled_PP|1.00</t>
  </si>
  <si>
    <t xml:space="preserve">580|not_pulled_PP|1.30</t>
  </si>
  <si>
    <t xml:space="preserve">580|not_pulled_PP|1.85</t>
  </si>
  <si>
    <t xml:space="preserve">580|not_pulled_PP|2.40</t>
  </si>
  <si>
    <t xml:space="preserve">580|pulled|0.55</t>
  </si>
  <si>
    <t xml:space="preserve">580|pulled|0.80</t>
  </si>
  <si>
    <t xml:space="preserve">580|pulled|1.00</t>
  </si>
  <si>
    <t xml:space="preserve">580|pulled|1.30</t>
  </si>
  <si>
    <t xml:space="preserve">580|pulled|1.85</t>
  </si>
  <si>
    <t xml:space="preserve">580|pulled|2.40</t>
  </si>
  <si>
    <t xml:space="preserve">560|not_pulled_EV|0.55</t>
  </si>
  <si>
    <t xml:space="preserve">9:20</t>
  </si>
  <si>
    <t xml:space="preserve">560|not_pulled_EV|0.80</t>
  </si>
  <si>
    <t xml:space="preserve">560|not_pulled_EV|1.00</t>
  </si>
  <si>
    <t xml:space="preserve">560|not_pulled_EV|1.30</t>
  </si>
  <si>
    <t xml:space="preserve">560|not_pulled_EV|1.85</t>
  </si>
  <si>
    <t xml:space="preserve">560|not_pulled_EV|2.40</t>
  </si>
  <si>
    <t xml:space="preserve">560|not_pulled_PP|0.55</t>
  </si>
  <si>
    <t xml:space="preserve">560|not_pulled_PP|0.80</t>
  </si>
  <si>
    <t xml:space="preserve">560|not_pulled_PP|1.00</t>
  </si>
  <si>
    <t xml:space="preserve">560|not_pulled_PP|1.30</t>
  </si>
  <si>
    <t xml:space="preserve">560|not_pulled_PP|1.85</t>
  </si>
  <si>
    <t xml:space="preserve">560|not_pulled_PP|2.40</t>
  </si>
  <si>
    <t xml:space="preserve">560|pulled|0.55</t>
  </si>
  <si>
    <t xml:space="preserve">560|pulled|0.80</t>
  </si>
  <si>
    <t xml:space="preserve">560|pulled|1.00</t>
  </si>
  <si>
    <t xml:space="preserve">560|pulled|1.30</t>
  </si>
  <si>
    <t xml:space="preserve">560|pulled|1.85</t>
  </si>
  <si>
    <t xml:space="preserve">560|pulled|2.40</t>
  </si>
  <si>
    <t xml:space="preserve">540|not_pulled_EV|0.55</t>
  </si>
  <si>
    <t xml:space="preserve">9:00</t>
  </si>
  <si>
    <t xml:space="preserve">540|not_pulled_EV|0.80</t>
  </si>
  <si>
    <t xml:space="preserve">540|not_pulled_EV|1.00</t>
  </si>
  <si>
    <t xml:space="preserve">540|not_pulled_EV|1.30</t>
  </si>
  <si>
    <t xml:space="preserve">540|not_pulled_EV|1.85</t>
  </si>
  <si>
    <t xml:space="preserve">540|not_pulled_EV|2.40</t>
  </si>
  <si>
    <t xml:space="preserve">540|not_pulled_PP|0.55</t>
  </si>
  <si>
    <t xml:space="preserve">540|not_pulled_PP|0.80</t>
  </si>
  <si>
    <t xml:space="preserve">540|not_pulled_PP|1.00</t>
  </si>
  <si>
    <t xml:space="preserve">540|not_pulled_PP|1.30</t>
  </si>
  <si>
    <t xml:space="preserve">540|not_pulled_PP|1.85</t>
  </si>
  <si>
    <t xml:space="preserve">540|not_pulled_PP|2.40</t>
  </si>
  <si>
    <t xml:space="preserve">540|pulled|0.55</t>
  </si>
  <si>
    <t xml:space="preserve">540|pulled|0.80</t>
  </si>
  <si>
    <t xml:space="preserve">540|pulled|1.00</t>
  </si>
  <si>
    <t xml:space="preserve">540|pulled|1.30</t>
  </si>
  <si>
    <t xml:space="preserve">540|pulled|1.85</t>
  </si>
  <si>
    <t xml:space="preserve">540|pulled|2.40</t>
  </si>
  <si>
    <t xml:space="preserve">520|not_pulled_EV|0.55</t>
  </si>
  <si>
    <t xml:space="preserve">8:40</t>
  </si>
  <si>
    <t xml:space="preserve">520|not_pulled_EV|0.80</t>
  </si>
  <si>
    <t xml:space="preserve">520|not_pulled_EV|1.00</t>
  </si>
  <si>
    <t xml:space="preserve">520|not_pulled_EV|1.30</t>
  </si>
  <si>
    <t xml:space="preserve">520|not_pulled_EV|1.85</t>
  </si>
  <si>
    <t xml:space="preserve">520|not_pulled_EV|2.40</t>
  </si>
  <si>
    <t xml:space="preserve">520|not_pulled_PP|0.55</t>
  </si>
  <si>
    <t xml:space="preserve">520|not_pulled_PP|0.80</t>
  </si>
  <si>
    <t xml:space="preserve">520|not_pulled_PP|1.00</t>
  </si>
  <si>
    <t xml:space="preserve">520|not_pulled_PP|1.30</t>
  </si>
  <si>
    <t xml:space="preserve">520|not_pulled_PP|1.85</t>
  </si>
  <si>
    <t xml:space="preserve">520|not_pulled_PP|2.40</t>
  </si>
  <si>
    <t xml:space="preserve">520|pulled|0.55</t>
  </si>
  <si>
    <t xml:space="preserve">520|pulled|0.80</t>
  </si>
  <si>
    <t xml:space="preserve">520|pulled|1.00</t>
  </si>
  <si>
    <t xml:space="preserve">520|pulled|1.30</t>
  </si>
  <si>
    <t xml:space="preserve">520|pulled|1.85</t>
  </si>
  <si>
    <t xml:space="preserve">520|pulled|2.40</t>
  </si>
  <si>
    <t xml:space="preserve">500|not_pulled_EV|0.55</t>
  </si>
  <si>
    <t xml:space="preserve">8:20</t>
  </si>
  <si>
    <t xml:space="preserve">500|not_pulled_EV|0.80</t>
  </si>
  <si>
    <t xml:space="preserve">500|not_pulled_EV|1.00</t>
  </si>
  <si>
    <t xml:space="preserve">500|not_pulled_EV|1.30</t>
  </si>
  <si>
    <t xml:space="preserve">500|not_pulled_EV|1.85</t>
  </si>
  <si>
    <t xml:space="preserve">500|not_pulled_EV|2.40</t>
  </si>
  <si>
    <t xml:space="preserve">500|not_pulled_PP|0.55</t>
  </si>
  <si>
    <t xml:space="preserve">500|not_pulled_PP|0.80</t>
  </si>
  <si>
    <t xml:space="preserve">500|not_pulled_PP|1.00</t>
  </si>
  <si>
    <t xml:space="preserve">500|not_pulled_PP|1.30</t>
  </si>
  <si>
    <t xml:space="preserve">500|not_pulled_PP|1.85</t>
  </si>
  <si>
    <t xml:space="preserve">500|not_pulled_PP|2.40</t>
  </si>
  <si>
    <t xml:space="preserve">500|pulled|0.55</t>
  </si>
  <si>
    <t xml:space="preserve">500|pulled|0.80</t>
  </si>
  <si>
    <t xml:space="preserve">500|pulled|1.00</t>
  </si>
  <si>
    <t xml:space="preserve">500|pulled|1.30</t>
  </si>
  <si>
    <t xml:space="preserve">500|pulled|1.85</t>
  </si>
  <si>
    <t xml:space="preserve">500|pulled|2.40</t>
  </si>
  <si>
    <t xml:space="preserve">480|not_pulled_EV|0.55</t>
  </si>
  <si>
    <t xml:space="preserve">8:00</t>
  </si>
  <si>
    <t xml:space="preserve">480|not_pulled_EV|0.80</t>
  </si>
  <si>
    <t xml:space="preserve">480|not_pulled_EV|1.00</t>
  </si>
  <si>
    <t xml:space="preserve">480|not_pulled_EV|1.30</t>
  </si>
  <si>
    <t xml:space="preserve">480|not_pulled_EV|1.85</t>
  </si>
  <si>
    <t xml:space="preserve">480|not_pulled_EV|2.40</t>
  </si>
  <si>
    <t xml:space="preserve">480|not_pulled_PP|0.55</t>
  </si>
  <si>
    <t xml:space="preserve">480|not_pulled_PP|0.80</t>
  </si>
  <si>
    <t xml:space="preserve">480|not_pulled_PP|1.00</t>
  </si>
  <si>
    <t xml:space="preserve">480|not_pulled_PP|1.30</t>
  </si>
  <si>
    <t xml:space="preserve">480|not_pulled_PP|1.85</t>
  </si>
  <si>
    <t xml:space="preserve">480|not_pulled_PP|2.40</t>
  </si>
  <si>
    <t xml:space="preserve">480|pulled|0.55</t>
  </si>
  <si>
    <t xml:space="preserve">480|pulled|0.80</t>
  </si>
  <si>
    <t xml:space="preserve">480|pulled|1.00</t>
  </si>
  <si>
    <t xml:space="preserve">480|pulled|1.30</t>
  </si>
  <si>
    <t xml:space="preserve">480|pulled|1.85</t>
  </si>
  <si>
    <t xml:space="preserve">480|pulled|2.40</t>
  </si>
  <si>
    <t xml:space="preserve">460|not_pulled_EV|0.55</t>
  </si>
  <si>
    <t xml:space="preserve">7:40</t>
  </si>
  <si>
    <t xml:space="preserve">460|not_pulled_EV|0.80</t>
  </si>
  <si>
    <t xml:space="preserve">460|not_pulled_EV|1.00</t>
  </si>
  <si>
    <t xml:space="preserve">460|not_pulled_EV|1.30</t>
  </si>
  <si>
    <t xml:space="preserve">460|not_pulled_EV|1.85</t>
  </si>
  <si>
    <t xml:space="preserve">460|not_pulled_EV|2.40</t>
  </si>
  <si>
    <t xml:space="preserve">460|not_pulled_PP|0.55</t>
  </si>
  <si>
    <t xml:space="preserve">460|not_pulled_PP|0.80</t>
  </si>
  <si>
    <t xml:space="preserve">460|not_pulled_PP|1.00</t>
  </si>
  <si>
    <t xml:space="preserve">460|not_pulled_PP|1.30</t>
  </si>
  <si>
    <t xml:space="preserve">460|not_pulled_PP|1.85</t>
  </si>
  <si>
    <t xml:space="preserve">460|not_pulled_PP|2.40</t>
  </si>
  <si>
    <t xml:space="preserve">460|pulled|0.55</t>
  </si>
  <si>
    <t xml:space="preserve">460|pulled|0.80</t>
  </si>
  <si>
    <t xml:space="preserve">460|pulled|1.00</t>
  </si>
  <si>
    <t xml:space="preserve">460|pulled|1.30</t>
  </si>
  <si>
    <t xml:space="preserve">460|pulled|1.85</t>
  </si>
  <si>
    <t xml:space="preserve">460|pulled|2.40</t>
  </si>
  <si>
    <t xml:space="preserve">440|not_pulled_EV|0.55</t>
  </si>
  <si>
    <t xml:space="preserve">7:20</t>
  </si>
  <si>
    <t xml:space="preserve">440|not_pulled_EV|0.80</t>
  </si>
  <si>
    <t xml:space="preserve">440|not_pulled_EV|1.00</t>
  </si>
  <si>
    <t xml:space="preserve">440|not_pulled_EV|1.30</t>
  </si>
  <si>
    <t xml:space="preserve">440|not_pulled_EV|1.85</t>
  </si>
  <si>
    <t xml:space="preserve">440|not_pulled_EV|2.40</t>
  </si>
  <si>
    <t xml:space="preserve">440|not_pulled_PP|0.55</t>
  </si>
  <si>
    <t xml:space="preserve">440|not_pulled_PP|0.80</t>
  </si>
  <si>
    <t xml:space="preserve">440|not_pulled_PP|1.00</t>
  </si>
  <si>
    <t xml:space="preserve">440|not_pulled_PP|1.30</t>
  </si>
  <si>
    <t xml:space="preserve">440|not_pulled_PP|1.85</t>
  </si>
  <si>
    <t xml:space="preserve">440|not_pulled_PP|2.40</t>
  </si>
  <si>
    <t xml:space="preserve">440|pulled|0.55</t>
  </si>
  <si>
    <t xml:space="preserve">440|pulled|0.80</t>
  </si>
  <si>
    <t xml:space="preserve">440|pulled|1.00</t>
  </si>
  <si>
    <t xml:space="preserve">440|pulled|1.30</t>
  </si>
  <si>
    <t xml:space="preserve">440|pulled|1.85</t>
  </si>
  <si>
    <t xml:space="preserve">440|pulled|2.40</t>
  </si>
  <si>
    <t xml:space="preserve">420|not_pulled_EV|0.55</t>
  </si>
  <si>
    <t xml:space="preserve">7:00</t>
  </si>
  <si>
    <t xml:space="preserve">420|not_pulled_EV|0.80</t>
  </si>
  <si>
    <t xml:space="preserve">420|not_pulled_EV|1.00</t>
  </si>
  <si>
    <t xml:space="preserve">420|not_pulled_EV|1.30</t>
  </si>
  <si>
    <t xml:space="preserve">420|not_pulled_EV|1.85</t>
  </si>
  <si>
    <t xml:space="preserve">420|not_pulled_EV|2.40</t>
  </si>
  <si>
    <t xml:space="preserve">420|not_pulled_PP|0.55</t>
  </si>
  <si>
    <t xml:space="preserve">420|not_pulled_PP|0.80</t>
  </si>
  <si>
    <t xml:space="preserve">420|not_pulled_PP|1.00</t>
  </si>
  <si>
    <t xml:space="preserve">420|not_pulled_PP|1.30</t>
  </si>
  <si>
    <t xml:space="preserve">420|not_pulled_PP|1.85</t>
  </si>
  <si>
    <t xml:space="preserve">420|not_pulled_PP|2.40</t>
  </si>
  <si>
    <t xml:space="preserve">420|pulled|0.55</t>
  </si>
  <si>
    <t xml:space="preserve">420|pulled|0.80</t>
  </si>
  <si>
    <t xml:space="preserve">420|pulled|1.00</t>
  </si>
  <si>
    <t xml:space="preserve">420|pulled|1.30</t>
  </si>
  <si>
    <t xml:space="preserve">420|pulled|1.85</t>
  </si>
  <si>
    <t xml:space="preserve">420|pulled|2.40</t>
  </si>
  <si>
    <t xml:space="preserve">400|not_pulled_EV|0.55</t>
  </si>
  <si>
    <t xml:space="preserve">6:40</t>
  </si>
  <si>
    <t xml:space="preserve">400|not_pulled_EV|0.80</t>
  </si>
  <si>
    <t xml:space="preserve">400|not_pulled_EV|1.00</t>
  </si>
  <si>
    <t xml:space="preserve">400|not_pulled_EV|1.30</t>
  </si>
  <si>
    <t xml:space="preserve">400|not_pulled_EV|1.85</t>
  </si>
  <si>
    <t xml:space="preserve">400|not_pulled_EV|2.40</t>
  </si>
  <si>
    <t xml:space="preserve">400|not_pulled_PP|0.55</t>
  </si>
  <si>
    <t xml:space="preserve">400|not_pulled_PP|0.80</t>
  </si>
  <si>
    <t xml:space="preserve">400|not_pulled_PP|1.00</t>
  </si>
  <si>
    <t xml:space="preserve">400|not_pulled_PP|1.30</t>
  </si>
  <si>
    <t xml:space="preserve">400|not_pulled_PP|1.85</t>
  </si>
  <si>
    <t xml:space="preserve">400|not_pulled_PP|2.40</t>
  </si>
  <si>
    <t xml:space="preserve">400|pulled|0.55</t>
  </si>
  <si>
    <t xml:space="preserve">400|pulled|0.80</t>
  </si>
  <si>
    <t xml:space="preserve">400|pulled|1.00</t>
  </si>
  <si>
    <t xml:space="preserve">400|pulled|1.30</t>
  </si>
  <si>
    <t xml:space="preserve">400|pulled|1.85</t>
  </si>
  <si>
    <t xml:space="preserve">400|pulled|2.40</t>
  </si>
  <si>
    <t xml:space="preserve">380|not_pulled_EV|0.55</t>
  </si>
  <si>
    <t xml:space="preserve">6:20</t>
  </si>
  <si>
    <t xml:space="preserve">380|not_pulled_EV|0.80</t>
  </si>
  <si>
    <t xml:space="preserve">380|not_pulled_EV|1.00</t>
  </si>
  <si>
    <t xml:space="preserve">380|not_pulled_EV|1.30</t>
  </si>
  <si>
    <t xml:space="preserve">380|not_pulled_EV|1.85</t>
  </si>
  <si>
    <t xml:space="preserve">380|not_pulled_EV|2.40</t>
  </si>
  <si>
    <t xml:space="preserve">380|not_pulled_PP|0.55</t>
  </si>
  <si>
    <t xml:space="preserve">380|not_pulled_PP|0.80</t>
  </si>
  <si>
    <t xml:space="preserve">380|not_pulled_PP|1.00</t>
  </si>
  <si>
    <t xml:space="preserve">380|not_pulled_PP|1.30</t>
  </si>
  <si>
    <t xml:space="preserve">380|not_pulled_PP|1.85</t>
  </si>
  <si>
    <t xml:space="preserve">380|not_pulled_PP|2.40</t>
  </si>
  <si>
    <t xml:space="preserve">380|pulled|0.55</t>
  </si>
  <si>
    <t xml:space="preserve">380|pulled|0.80</t>
  </si>
  <si>
    <t xml:space="preserve">380|pulled|1.00</t>
  </si>
  <si>
    <t xml:space="preserve">380|pulled|1.30</t>
  </si>
  <si>
    <t xml:space="preserve">380|pulled|1.85</t>
  </si>
  <si>
    <t xml:space="preserve">380|pulled|2.40</t>
  </si>
  <si>
    <t xml:space="preserve">360|not_pulled_EV|0.55</t>
  </si>
  <si>
    <t xml:space="preserve">6:00</t>
  </si>
  <si>
    <t xml:space="preserve">360|not_pulled_EV|0.80</t>
  </si>
  <si>
    <t xml:space="preserve">360|not_pulled_EV|1.00</t>
  </si>
  <si>
    <t xml:space="preserve">360|not_pulled_EV|1.30</t>
  </si>
  <si>
    <t xml:space="preserve">360|not_pulled_EV|1.85</t>
  </si>
  <si>
    <t xml:space="preserve">360|not_pulled_EV|2.40</t>
  </si>
  <si>
    <t xml:space="preserve">360|not_pulled_PP|0.55</t>
  </si>
  <si>
    <t xml:space="preserve">360|not_pulled_PP|0.80</t>
  </si>
  <si>
    <t xml:space="preserve">360|not_pulled_PP|1.00</t>
  </si>
  <si>
    <t xml:space="preserve">360|not_pulled_PP|1.30</t>
  </si>
  <si>
    <t xml:space="preserve">360|not_pulled_PP|1.85</t>
  </si>
  <si>
    <t xml:space="preserve">360|not_pulled_PP|2.40</t>
  </si>
  <si>
    <t xml:space="preserve">360|pulled|0.55</t>
  </si>
  <si>
    <t xml:space="preserve">360|pulled|0.80</t>
  </si>
  <si>
    <t xml:space="preserve">360|pulled|1.00</t>
  </si>
  <si>
    <t xml:space="preserve">360|pulled|1.30</t>
  </si>
  <si>
    <t xml:space="preserve">360|pulled|1.85</t>
  </si>
  <si>
    <t xml:space="preserve">360|pulled|2.40</t>
  </si>
  <si>
    <t xml:space="preserve">340|not_pulled_EV|0.55</t>
  </si>
  <si>
    <t xml:space="preserve">5:40</t>
  </si>
  <si>
    <t xml:space="preserve">340|not_pulled_EV|0.80</t>
  </si>
  <si>
    <t xml:space="preserve">340|not_pulled_EV|1.00</t>
  </si>
  <si>
    <t xml:space="preserve">340|not_pulled_EV|1.30</t>
  </si>
  <si>
    <t xml:space="preserve">340|not_pulled_EV|1.85</t>
  </si>
  <si>
    <t xml:space="preserve">340|not_pulled_EV|2.40</t>
  </si>
  <si>
    <t xml:space="preserve">340|not_pulled_PP|0.55</t>
  </si>
  <si>
    <t xml:space="preserve">340|not_pulled_PP|0.80</t>
  </si>
  <si>
    <t xml:space="preserve">340|not_pulled_PP|1.00</t>
  </si>
  <si>
    <t xml:space="preserve">340|not_pulled_PP|1.30</t>
  </si>
  <si>
    <t xml:space="preserve">340|not_pulled_PP|1.85</t>
  </si>
  <si>
    <t xml:space="preserve">340|not_pulled_PP|2.40</t>
  </si>
  <si>
    <t xml:space="preserve">340|pulled|0.55</t>
  </si>
  <si>
    <t xml:space="preserve">340|pulled|0.80</t>
  </si>
  <si>
    <t xml:space="preserve">340|pulled|1.00</t>
  </si>
  <si>
    <t xml:space="preserve">340|pulled|1.30</t>
  </si>
  <si>
    <t xml:space="preserve">340|pulled|1.85</t>
  </si>
  <si>
    <t xml:space="preserve">340|pulled|2.40</t>
  </si>
  <si>
    <t xml:space="preserve">320|not_pulled_EV|0.55</t>
  </si>
  <si>
    <t xml:space="preserve">5:20</t>
  </si>
  <si>
    <t xml:space="preserve">320|not_pulled_EV|0.80</t>
  </si>
  <si>
    <t xml:space="preserve">320|not_pulled_EV|1.00</t>
  </si>
  <si>
    <t xml:space="preserve">320|not_pulled_EV|1.30</t>
  </si>
  <si>
    <t xml:space="preserve">320|not_pulled_EV|1.85</t>
  </si>
  <si>
    <t xml:space="preserve">320|not_pulled_EV|2.40</t>
  </si>
  <si>
    <t xml:space="preserve">320|not_pulled_PP|0.55</t>
  </si>
  <si>
    <t xml:space="preserve">320|not_pulled_PP|0.80</t>
  </si>
  <si>
    <t xml:space="preserve">320|not_pulled_PP|1.00</t>
  </si>
  <si>
    <t xml:space="preserve">320|not_pulled_PP|1.30</t>
  </si>
  <si>
    <t xml:space="preserve">320|not_pulled_PP|1.85</t>
  </si>
  <si>
    <t xml:space="preserve">320|not_pulled_PP|2.40</t>
  </si>
  <si>
    <t xml:space="preserve">320|pulled|0.55</t>
  </si>
  <si>
    <t xml:space="preserve">320|pulled|0.80</t>
  </si>
  <si>
    <t xml:space="preserve">320|pulled|1.00</t>
  </si>
  <si>
    <t xml:space="preserve">320|pulled|1.30</t>
  </si>
  <si>
    <t xml:space="preserve">320|pulled|1.85</t>
  </si>
  <si>
    <t xml:space="preserve">320|pulled|2.40</t>
  </si>
  <si>
    <t xml:space="preserve">300|not_pulled_EV|0.55</t>
  </si>
  <si>
    <t xml:space="preserve">5:00</t>
  </si>
  <si>
    <t xml:space="preserve">300|not_pulled_EV|0.80</t>
  </si>
  <si>
    <t xml:space="preserve">300|not_pulled_EV|1.00</t>
  </si>
  <si>
    <t xml:space="preserve">300|not_pulled_EV|1.30</t>
  </si>
  <si>
    <t xml:space="preserve">300|not_pulled_EV|1.85</t>
  </si>
  <si>
    <t xml:space="preserve">300|not_pulled_EV|2.40</t>
  </si>
  <si>
    <t xml:space="preserve">300|not_pulled_PP|0.55</t>
  </si>
  <si>
    <t xml:space="preserve">300|not_pulled_PP|0.80</t>
  </si>
  <si>
    <t xml:space="preserve">300|not_pulled_PP|1.00</t>
  </si>
  <si>
    <t xml:space="preserve">300|not_pulled_PP|1.30</t>
  </si>
  <si>
    <t xml:space="preserve">300|not_pulled_PP|1.85</t>
  </si>
  <si>
    <t xml:space="preserve">300|not_pulled_PP|2.40</t>
  </si>
  <si>
    <t xml:space="preserve">300|pulled|0.55</t>
  </si>
  <si>
    <t xml:space="preserve">300|pulled|0.80</t>
  </si>
  <si>
    <t xml:space="preserve">300|pulled|1.00</t>
  </si>
  <si>
    <t xml:space="preserve">300|pulled|1.30</t>
  </si>
  <si>
    <t xml:space="preserve">300|pulled|1.85</t>
  </si>
  <si>
    <t xml:space="preserve">300|pulled|2.40</t>
  </si>
  <si>
    <t xml:space="preserve">280|not_pulled_EV|0.55</t>
  </si>
  <si>
    <t xml:space="preserve">4:40</t>
  </si>
  <si>
    <t xml:space="preserve">280|not_pulled_EV|0.80</t>
  </si>
  <si>
    <t xml:space="preserve">280|not_pulled_EV|1.00</t>
  </si>
  <si>
    <t xml:space="preserve">280|not_pulled_EV|1.30</t>
  </si>
  <si>
    <t xml:space="preserve">280|not_pulled_EV|1.85</t>
  </si>
  <si>
    <t xml:space="preserve">280|not_pulled_EV|2.40</t>
  </si>
  <si>
    <t xml:space="preserve">280|not_pulled_PP|0.55</t>
  </si>
  <si>
    <t xml:space="preserve">280|not_pulled_PP|0.80</t>
  </si>
  <si>
    <t xml:space="preserve">280|not_pulled_PP|1.00</t>
  </si>
  <si>
    <t xml:space="preserve">280|not_pulled_PP|1.30</t>
  </si>
  <si>
    <t xml:space="preserve">280|not_pulled_PP|1.85</t>
  </si>
  <si>
    <t xml:space="preserve">280|not_pulled_PP|2.40</t>
  </si>
  <si>
    <t xml:space="preserve">280|pulled|0.55</t>
  </si>
  <si>
    <t xml:space="preserve">280|pulled|0.80</t>
  </si>
  <si>
    <t xml:space="preserve">280|pulled|1.00</t>
  </si>
  <si>
    <t xml:space="preserve">280|pulled|1.30</t>
  </si>
  <si>
    <t xml:space="preserve">280|pulled|1.85</t>
  </si>
  <si>
    <t xml:space="preserve">280|pulled|2.40</t>
  </si>
  <si>
    <t xml:space="preserve">260|not_pulled_EV|0.55</t>
  </si>
  <si>
    <t xml:space="preserve">4:20</t>
  </si>
  <si>
    <t xml:space="preserve">260|not_pulled_EV|0.80</t>
  </si>
  <si>
    <t xml:space="preserve">260|not_pulled_EV|1.00</t>
  </si>
  <si>
    <t xml:space="preserve">260|not_pulled_EV|1.30</t>
  </si>
  <si>
    <t xml:space="preserve">260|not_pulled_EV|1.85</t>
  </si>
  <si>
    <t xml:space="preserve">260|not_pulled_EV|2.40</t>
  </si>
  <si>
    <t xml:space="preserve">260|not_pulled_PP|0.55</t>
  </si>
  <si>
    <t xml:space="preserve">260|not_pulled_PP|0.80</t>
  </si>
  <si>
    <t xml:space="preserve">260|not_pulled_PP|1.00</t>
  </si>
  <si>
    <t xml:space="preserve">260|not_pulled_PP|1.30</t>
  </si>
  <si>
    <t xml:space="preserve">260|not_pulled_PP|1.85</t>
  </si>
  <si>
    <t xml:space="preserve">260|not_pulled_PP|2.40</t>
  </si>
  <si>
    <t xml:space="preserve">260|pulled|0.55</t>
  </si>
  <si>
    <t xml:space="preserve">260|pulled|0.80</t>
  </si>
  <si>
    <t xml:space="preserve">260|pulled|1.00</t>
  </si>
  <si>
    <t xml:space="preserve">260|pulled|1.30</t>
  </si>
  <si>
    <t xml:space="preserve">260|pulled|1.85</t>
  </si>
  <si>
    <t xml:space="preserve">260|pulled|2.40</t>
  </si>
  <si>
    <t xml:space="preserve">240|not_pulled_EV|0.55</t>
  </si>
  <si>
    <t xml:space="preserve">4:00</t>
  </si>
  <si>
    <t xml:space="preserve">240|not_pulled_EV|0.80</t>
  </si>
  <si>
    <t xml:space="preserve">240|not_pulled_EV|1.00</t>
  </si>
  <si>
    <t xml:space="preserve">240|not_pulled_EV|1.30</t>
  </si>
  <si>
    <t xml:space="preserve">240|not_pulled_EV|1.85</t>
  </si>
  <si>
    <t xml:space="preserve">240|not_pulled_EV|2.40</t>
  </si>
  <si>
    <t xml:space="preserve">240|not_pulled_PP|0.55</t>
  </si>
  <si>
    <t xml:space="preserve">240|not_pulled_PP|0.80</t>
  </si>
  <si>
    <t xml:space="preserve">240|not_pulled_PP|1.00</t>
  </si>
  <si>
    <t xml:space="preserve">240|not_pulled_PP|1.30</t>
  </si>
  <si>
    <t xml:space="preserve">240|not_pulled_PP|1.85</t>
  </si>
  <si>
    <t xml:space="preserve">240|not_pulled_PP|2.40</t>
  </si>
  <si>
    <t xml:space="preserve">240|pulled|0.55</t>
  </si>
  <si>
    <t xml:space="preserve">240|pulled|0.80</t>
  </si>
  <si>
    <t xml:space="preserve">240|pulled|1.00</t>
  </si>
  <si>
    <t xml:space="preserve">240|pulled|1.30</t>
  </si>
  <si>
    <t xml:space="preserve">240|pulled|1.85</t>
  </si>
  <si>
    <t xml:space="preserve">240|pulled|2.40</t>
  </si>
  <si>
    <t xml:space="preserve">220|not_pulled_EV|0.55</t>
  </si>
  <si>
    <t xml:space="preserve">3:40</t>
  </si>
  <si>
    <t xml:space="preserve">220|not_pulled_EV|0.80</t>
  </si>
  <si>
    <t xml:space="preserve">220|not_pulled_EV|1.00</t>
  </si>
  <si>
    <t xml:space="preserve">220|not_pulled_EV|1.30</t>
  </si>
  <si>
    <t xml:space="preserve">220|not_pulled_EV|1.85</t>
  </si>
  <si>
    <t xml:space="preserve">220|not_pulled_EV|2.40</t>
  </si>
  <si>
    <t xml:space="preserve">220|not_pulled_PP|0.55</t>
  </si>
  <si>
    <t xml:space="preserve">220|not_pulled_PP|0.80</t>
  </si>
  <si>
    <t xml:space="preserve">220|not_pulled_PP|1.00</t>
  </si>
  <si>
    <t xml:space="preserve">220|not_pulled_PP|1.30</t>
  </si>
  <si>
    <t xml:space="preserve">220|not_pulled_PP|1.85</t>
  </si>
  <si>
    <t xml:space="preserve">220|not_pulled_PP|2.40</t>
  </si>
  <si>
    <t xml:space="preserve">220|pulled|0.55</t>
  </si>
  <si>
    <t xml:space="preserve">220|pulled|0.80</t>
  </si>
  <si>
    <t xml:space="preserve">220|pulled|1.00</t>
  </si>
  <si>
    <t xml:space="preserve">220|pulled|1.30</t>
  </si>
  <si>
    <t xml:space="preserve">220|pulled|1.85</t>
  </si>
  <si>
    <t xml:space="preserve">220|pulled|2.40</t>
  </si>
  <si>
    <t xml:space="preserve">200|not_pulled_EV|0.55</t>
  </si>
  <si>
    <t xml:space="preserve">3:20</t>
  </si>
  <si>
    <t xml:space="preserve">200|not_pulled_EV|0.80</t>
  </si>
  <si>
    <t xml:space="preserve">200|not_pulled_EV|1.00</t>
  </si>
  <si>
    <t xml:space="preserve">200|not_pulled_EV|1.30</t>
  </si>
  <si>
    <t xml:space="preserve">200|not_pulled_EV|1.85</t>
  </si>
  <si>
    <t xml:space="preserve">200|not_pulled_EV|2.40</t>
  </si>
  <si>
    <t xml:space="preserve">200|not_pulled_PP|0.55</t>
  </si>
  <si>
    <t xml:space="preserve">200|not_pulled_PP|0.80</t>
  </si>
  <si>
    <t xml:space="preserve">200|not_pulled_PP|1.00</t>
  </si>
  <si>
    <t xml:space="preserve">200|not_pulled_PP|1.30</t>
  </si>
  <si>
    <t xml:space="preserve">200|not_pulled_PP|1.85</t>
  </si>
  <si>
    <t xml:space="preserve">200|not_pulled_PP|2.40</t>
  </si>
  <si>
    <t xml:space="preserve">200|pulled|0.55</t>
  </si>
  <si>
    <t xml:space="preserve">200|pulled|0.80</t>
  </si>
  <si>
    <t xml:space="preserve">200|pulled|1.00</t>
  </si>
  <si>
    <t xml:space="preserve">200|pulled|1.30</t>
  </si>
  <si>
    <t xml:space="preserve">200|pulled|1.85</t>
  </si>
  <si>
    <t xml:space="preserve">200|pulled|2.40</t>
  </si>
  <si>
    <t xml:space="preserve">180|not_pulled_EV|0.55</t>
  </si>
  <si>
    <t xml:space="preserve">3:00</t>
  </si>
  <si>
    <t xml:space="preserve">180|not_pulled_EV|0.80</t>
  </si>
  <si>
    <t xml:space="preserve">180|not_pulled_EV|1.00</t>
  </si>
  <si>
    <t xml:space="preserve">180|not_pulled_EV|1.30</t>
  </si>
  <si>
    <t xml:space="preserve">180|not_pulled_EV|1.85</t>
  </si>
  <si>
    <t xml:space="preserve">180|not_pulled_EV|2.40</t>
  </si>
  <si>
    <t xml:space="preserve">180|not_pulled_PP|0.55</t>
  </si>
  <si>
    <t xml:space="preserve">180|not_pulled_PP|0.80</t>
  </si>
  <si>
    <t xml:space="preserve">180|not_pulled_PP|1.00</t>
  </si>
  <si>
    <t xml:space="preserve">180|not_pulled_PP|1.30</t>
  </si>
  <si>
    <t xml:space="preserve">180|not_pulled_PP|1.85</t>
  </si>
  <si>
    <t xml:space="preserve">180|not_pulled_PP|2.40</t>
  </si>
  <si>
    <t xml:space="preserve">180|pulled|0.55</t>
  </si>
  <si>
    <t xml:space="preserve">180|pulled|0.80</t>
  </si>
  <si>
    <t xml:space="preserve">180|pulled|1.00</t>
  </si>
  <si>
    <t xml:space="preserve">180|pulled|1.30</t>
  </si>
  <si>
    <t xml:space="preserve">180|pulled|1.85</t>
  </si>
  <si>
    <t xml:space="preserve">180|pulled|2.40</t>
  </si>
  <si>
    <t xml:space="preserve">LIVE LOOKUP — fill the 6 yellow cells</t>
  </si>
  <si>
    <t xml:space="preserve">Time remaining (any mm:ss from 3:00 to 15:00)</t>
  </si>
  <si>
    <t xml:space="preserve">State (not_pulled_EV / not_pulled_PP / pulled)</t>
  </si>
  <si>
    <t xml:space="preserve">Coach PRODUCTION m (COACHES col E; unknown = 1.00)</t>
  </si>
  <si>
    <t xml:space="preserve">Trailing team at HOME? (y/n — 'n' for low-tail coaches)</t>
  </si>
  <si>
    <t xml:space="preserve">n</t>
  </si>
  <si>
    <t xml:space="preserve">Trailing team is... (fav / even / dog) by standings</t>
  </si>
  <si>
    <t xml:space="preserve">even</t>
  </si>
  <si>
    <t xml:space="preserve">Edge required (0.10 = +10% EV)</t>
  </si>
  <si>
    <t xml:space="preserve">R secs / m_total:</t>
  </si>
  <si>
    <t xml:space="preserve">tier lo/hi/weight:</t>
  </si>
  <si>
    <t xml:space="preserve">R lo/hi/weight:</t>
  </si>
  <si>
    <t xml:space="preserve">corner keys:</t>
  </si>
  <si>
    <t xml:space="preserve">MARKET</t>
  </si>
  <si>
    <t xml:space="preserve">PROBABILITY</t>
  </si>
  <si>
    <t xml:space="preserve">LINE for +edge EV</t>
  </si>
  <si>
    <t xml:space="preserve">P(any more goal) — game total over</t>
  </si>
  <si>
    <t xml:space="preserve">P(2+ more goals) — WITHDRAWN if pulled</t>
  </si>
  <si>
    <t xml:space="preserve">P(LEADER scores again) — team total over (model ~5pts LOW; Overs only)</t>
  </si>
  <si>
    <t xml:space="preserve">P(leader wins by 4+) — the -3.5</t>
  </si>
  <si>
    <t xml:space="preserve">Warnings:</t>
  </si>
  <si>
    <t xml:space="preserve">helper: corner probabilities (do not edit)</t>
  </si>
  <si>
    <t xml:space="preserve">P(any more goal)</t>
  </si>
  <si>
    <t xml:space="preserve">P(2+ more goals)</t>
  </si>
  <si>
    <t xml:space="preserve">P(LEADER scores again)</t>
  </si>
  <si>
    <t xml:space="preserve">P(leader wins by 4+)</t>
  </si>
  <si>
    <t xml:space="preserve">coach</t>
  </si>
  <si>
    <t xml:space="preserve">pulls</t>
  </si>
  <si>
    <t xml:space="preserve">expected</t>
  </si>
  <si>
    <t xml:space="preserve">m_EB</t>
  </si>
  <si>
    <t xml:space="preserve">m_PRODUCTION (use this)</t>
  </si>
  <si>
    <t xml:space="preserve">real chances</t>
  </si>
  <si>
    <t xml:space="preserve">flag</t>
  </si>
  <si>
    <t xml:space="preserve">Jared Bednar</t>
  </si>
  <si>
    <t xml:space="preserve">Dan Muse</t>
  </si>
  <si>
    <t xml:space="preserve">Joe Sacco</t>
  </si>
  <si>
    <t xml:space="preserve">Patrick Roy</t>
  </si>
  <si>
    <t xml:space="preserve">Craig Berube</t>
  </si>
  <si>
    <t xml:space="preserve">Peter Laviolette</t>
  </si>
  <si>
    <t xml:space="preserve">Glen Gulutzan</t>
  </si>
  <si>
    <t xml:space="preserve">Travis Green</t>
  </si>
  <si>
    <t xml:space="preserve">D.J. Smith</t>
  </si>
  <si>
    <t xml:space="preserve">RISKY (&lt;5 chances)</t>
  </si>
  <si>
    <t xml:space="preserve">Dan Bylsma</t>
  </si>
  <si>
    <t xml:space="preserve">Kris Knoblauch</t>
  </si>
  <si>
    <t xml:space="preserve">Lindy Ruff</t>
  </si>
  <si>
    <t xml:space="preserve">Joel Quenneville</t>
  </si>
  <si>
    <t xml:space="preserve">Jon Cooper</t>
  </si>
  <si>
    <t xml:space="preserve">Scott Arniel</t>
  </si>
  <si>
    <t xml:space="preserve">John Hynes</t>
  </si>
  <si>
    <t xml:space="preserve">Jeff Blashill</t>
  </si>
  <si>
    <t xml:space="preserve">Derek Lalonde</t>
  </si>
  <si>
    <t xml:space="preserve">Paul Maurice</t>
  </si>
  <si>
    <t xml:space="preserve">Martin St. Louis</t>
  </si>
  <si>
    <t xml:space="preserve">Adam Foote</t>
  </si>
  <si>
    <t xml:space="preserve">Mike Sullivan</t>
  </si>
  <si>
    <t xml:space="preserve">Dean Evason</t>
  </si>
  <si>
    <t xml:space="preserve">Rick Tocchet</t>
  </si>
  <si>
    <t xml:space="preserve">Rick Bowness</t>
  </si>
  <si>
    <t xml:space="preserve">Drew Bannister</t>
  </si>
  <si>
    <t xml:space="preserve">Jim Hiller</t>
  </si>
  <si>
    <t xml:space="preserve">Peter DeBoer</t>
  </si>
  <si>
    <t xml:space="preserve">Bruce Cassidy</t>
  </si>
  <si>
    <t xml:space="preserve">Sheldon Keefe</t>
  </si>
  <si>
    <t xml:space="preserve">Brad Shaw</t>
  </si>
  <si>
    <t xml:space="preserve">Jim Montgomery</t>
  </si>
  <si>
    <t xml:space="preserve">Rod Brind'Amour</t>
  </si>
  <si>
    <t xml:space="preserve">Lane Lambert</t>
  </si>
  <si>
    <t xml:space="preserve">Ryan Warsofsky</t>
  </si>
  <si>
    <t xml:space="preserve">Marco Sturm</t>
  </si>
  <si>
    <t xml:space="preserve">Spencer Carbery</t>
  </si>
  <si>
    <t xml:space="preserve">Luke Richardson</t>
  </si>
  <si>
    <t xml:space="preserve">Greg Cronin</t>
  </si>
  <si>
    <t xml:space="preserve">AndrÃ© Tourigny</t>
  </si>
  <si>
    <t xml:space="preserve">Todd McLellan</t>
  </si>
  <si>
    <t xml:space="preserve">LOW-TAIL: context mults OFF</t>
  </si>
  <si>
    <t xml:space="preserve">Andrew Brunette</t>
  </si>
  <si>
    <t xml:space="preserve">John Tortorella</t>
  </si>
  <si>
    <t xml:space="preserve">Ryan Huska</t>
  </si>
  <si>
    <t xml:space="preserve">Anders Sorensen</t>
  </si>
  <si>
    <t xml:space="preserve">Seb ruling 2026-07-25: no stake mandates — RISKY flag is informational. Flag resets when a coach changes team (&lt;5 chances with current team).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</si>
</sst>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%"/>
    <numFmt numFmtId="167" formatCode="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</row>
    <row r="2" customFormat="false" ht="15" hidden="false" customHeight="false" outlineLevel="0" collapsed="false">
      <c r="A2" s="2" t="s">
        <v>26</v>
      </c>
      <c r="B2" s="2" t="n">
        <v>900</v>
      </c>
      <c r="C2" s="2" t="s">
        <v>27</v>
      </c>
      <c r="D2" s="2" t="s">
        <v>28</v>
      </c>
      <c r="E2" s="2" t="n">
        <v>0.55</v>
      </c>
      <c r="F2" s="2" t="n">
        <v>0.7667</v>
      </c>
      <c r="G2" s="2" t="n">
        <v>0.4518</v>
      </c>
      <c r="H2" s="2" t="n">
        <v>0.6372</v>
      </c>
      <c r="I2" s="2" t="n">
        <v>0.4044</v>
      </c>
      <c r="J2" s="2" t="n">
        <v>0.2003</v>
      </c>
    </row>
    <row r="3" customFormat="false" ht="15" hidden="false" customHeight="false" outlineLevel="0" collapsed="false">
      <c r="A3" s="2" t="s">
        <v>29</v>
      </c>
      <c r="B3" s="2" t="n">
        <v>900</v>
      </c>
      <c r="C3" s="2" t="s">
        <v>27</v>
      </c>
      <c r="D3" s="2" t="s">
        <v>28</v>
      </c>
      <c r="E3" s="2" t="n">
        <v>0.8</v>
      </c>
      <c r="F3" s="2" t="n">
        <v>0.7945</v>
      </c>
      <c r="G3" s="2" t="n">
        <v>0.4724</v>
      </c>
      <c r="H3" s="2" t="n">
        <v>0.6782</v>
      </c>
      <c r="I3" s="2" t="n">
        <v>0.4381</v>
      </c>
      <c r="J3" s="2" t="n">
        <v>0.2205</v>
      </c>
    </row>
    <row r="4" customFormat="false" ht="15" hidden="false" customHeight="false" outlineLevel="0" collapsed="false">
      <c r="A4" s="2" t="s">
        <v>30</v>
      </c>
      <c r="B4" s="2" t="n">
        <v>900</v>
      </c>
      <c r="C4" s="2" t="s">
        <v>27</v>
      </c>
      <c r="D4" s="2" t="s">
        <v>28</v>
      </c>
      <c r="E4" s="2" t="n">
        <v>1</v>
      </c>
      <c r="F4" s="2" t="n">
        <v>0.8148</v>
      </c>
      <c r="G4" s="2" t="n">
        <v>0.4849</v>
      </c>
      <c r="H4" s="2" t="n">
        <v>0.7043</v>
      </c>
      <c r="I4" s="2" t="n">
        <v>0.4608</v>
      </c>
      <c r="J4" s="2" t="n">
        <v>0.2334</v>
      </c>
    </row>
    <row r="5" customFormat="false" ht="15" hidden="false" customHeight="false" outlineLevel="0" collapsed="false">
      <c r="A5" s="2" t="s">
        <v>31</v>
      </c>
      <c r="B5" s="2" t="n">
        <v>900</v>
      </c>
      <c r="C5" s="2" t="s">
        <v>27</v>
      </c>
      <c r="D5" s="2" t="s">
        <v>28</v>
      </c>
      <c r="E5" s="2" t="n">
        <v>1.3</v>
      </c>
      <c r="F5" s="2" t="n">
        <v>0.8405</v>
      </c>
      <c r="G5" s="2" t="n">
        <v>0.4997</v>
      </c>
      <c r="H5" s="2" t="n">
        <v>0.7358</v>
      </c>
      <c r="I5" s="2" t="n">
        <v>0.4897</v>
      </c>
      <c r="J5" s="2" t="n">
        <v>0.2495</v>
      </c>
    </row>
    <row r="6" customFormat="false" ht="15" hidden="false" customHeight="false" outlineLevel="0" collapsed="false">
      <c r="A6" s="2" t="s">
        <v>32</v>
      </c>
      <c r="B6" s="2" t="n">
        <v>900</v>
      </c>
      <c r="C6" s="2" t="s">
        <v>27</v>
      </c>
      <c r="D6" s="2" t="s">
        <v>28</v>
      </c>
      <c r="E6" s="2" t="n">
        <v>1.85</v>
      </c>
      <c r="F6" s="2" t="n">
        <v>0.8756</v>
      </c>
      <c r="G6" s="2" t="n">
        <v>0.5198</v>
      </c>
      <c r="H6" s="2" t="n">
        <v>0.7783</v>
      </c>
      <c r="I6" s="2" t="n">
        <v>0.5328</v>
      </c>
      <c r="J6" s="2" t="n">
        <v>0.2774</v>
      </c>
    </row>
    <row r="7" customFormat="false" ht="15" hidden="false" customHeight="false" outlineLevel="0" collapsed="false">
      <c r="A7" s="2" t="s">
        <v>33</v>
      </c>
      <c r="B7" s="2" t="n">
        <v>900</v>
      </c>
      <c r="C7" s="2" t="s">
        <v>27</v>
      </c>
      <c r="D7" s="2" t="s">
        <v>28</v>
      </c>
      <c r="E7" s="2" t="n">
        <v>2.4</v>
      </c>
      <c r="F7" s="2" t="n">
        <v>0.9009</v>
      </c>
      <c r="G7" s="2" t="n">
        <v>0.5356</v>
      </c>
      <c r="H7" s="2" t="n">
        <v>0.8091</v>
      </c>
      <c r="I7" s="2" t="n">
        <v>0.5642</v>
      </c>
      <c r="J7" s="2" t="n">
        <v>0.2989</v>
      </c>
    </row>
    <row r="8" customFormat="false" ht="15" hidden="false" customHeight="false" outlineLevel="0" collapsed="false">
      <c r="A8" s="2" t="s">
        <v>34</v>
      </c>
      <c r="B8" s="2" t="n">
        <v>900</v>
      </c>
      <c r="C8" s="2" t="s">
        <v>27</v>
      </c>
      <c r="D8" s="2" t="s">
        <v>35</v>
      </c>
      <c r="E8" s="2" t="n">
        <v>0.55</v>
      </c>
      <c r="F8" s="2" t="n">
        <v>0.7759</v>
      </c>
      <c r="G8" s="2" t="n">
        <v>0.4742</v>
      </c>
      <c r="H8" s="2" t="n">
        <v>0.6326</v>
      </c>
      <c r="I8" s="2" t="n">
        <v>0.3807</v>
      </c>
      <c r="J8" s="2" t="n">
        <v>0.1992</v>
      </c>
    </row>
    <row r="9" customFormat="false" ht="15" hidden="false" customHeight="false" outlineLevel="0" collapsed="false">
      <c r="A9" s="2" t="s">
        <v>36</v>
      </c>
      <c r="B9" s="2" t="n">
        <v>900</v>
      </c>
      <c r="C9" s="2" t="s">
        <v>27</v>
      </c>
      <c r="D9" s="2" t="s">
        <v>35</v>
      </c>
      <c r="E9" s="2" t="n">
        <v>0.8</v>
      </c>
      <c r="F9" s="2" t="n">
        <v>0.8029</v>
      </c>
      <c r="G9" s="2" t="n">
        <v>0.4955</v>
      </c>
      <c r="H9" s="2" t="n">
        <v>0.6743</v>
      </c>
      <c r="I9" s="2" t="n">
        <v>0.4148</v>
      </c>
      <c r="J9" s="2" t="n">
        <v>0.2206</v>
      </c>
    </row>
    <row r="10" customFormat="false" ht="15" hidden="false" customHeight="false" outlineLevel="0" collapsed="false">
      <c r="A10" s="2" t="s">
        <v>37</v>
      </c>
      <c r="B10" s="2" t="n">
        <v>900</v>
      </c>
      <c r="C10" s="2" t="s">
        <v>27</v>
      </c>
      <c r="D10" s="2" t="s">
        <v>35</v>
      </c>
      <c r="E10" s="2" t="n">
        <v>1</v>
      </c>
      <c r="F10" s="2" t="n">
        <v>0.8224</v>
      </c>
      <c r="G10" s="2" t="n">
        <v>0.5083</v>
      </c>
      <c r="H10" s="2" t="n">
        <v>0.7001</v>
      </c>
      <c r="I10" s="2" t="n">
        <v>0.4374</v>
      </c>
      <c r="J10" s="2" t="n">
        <v>0.2342</v>
      </c>
    </row>
    <row r="11" customFormat="false" ht="15" hidden="false" customHeight="false" outlineLevel="0" collapsed="false">
      <c r="A11" s="2" t="s">
        <v>38</v>
      </c>
      <c r="B11" s="2" t="n">
        <v>900</v>
      </c>
      <c r="C11" s="2" t="s">
        <v>27</v>
      </c>
      <c r="D11" s="2" t="s">
        <v>35</v>
      </c>
      <c r="E11" s="2" t="n">
        <v>1.3</v>
      </c>
      <c r="F11" s="2" t="n">
        <v>0.8474</v>
      </c>
      <c r="G11" s="2" t="n">
        <v>0.523</v>
      </c>
      <c r="H11" s="2" t="n">
        <v>0.7314</v>
      </c>
      <c r="I11" s="2" t="n">
        <v>0.4667</v>
      </c>
      <c r="J11" s="2" t="n">
        <v>0.2514</v>
      </c>
    </row>
    <row r="12" customFormat="false" ht="15" hidden="false" customHeight="false" outlineLevel="0" collapsed="false">
      <c r="A12" s="2" t="s">
        <v>39</v>
      </c>
      <c r="B12" s="2" t="n">
        <v>900</v>
      </c>
      <c r="C12" s="2" t="s">
        <v>27</v>
      </c>
      <c r="D12" s="2" t="s">
        <v>35</v>
      </c>
      <c r="E12" s="2" t="n">
        <v>1.85</v>
      </c>
      <c r="F12" s="2" t="n">
        <v>0.8813</v>
      </c>
      <c r="G12" s="2" t="n">
        <v>0.5426</v>
      </c>
      <c r="H12" s="2" t="n">
        <v>0.7733</v>
      </c>
      <c r="I12" s="2" t="n">
        <v>0.5096</v>
      </c>
      <c r="J12" s="2" t="n">
        <v>0.2803</v>
      </c>
    </row>
    <row r="13" customFormat="false" ht="15" hidden="false" customHeight="false" outlineLevel="0" collapsed="false">
      <c r="A13" s="2" t="s">
        <v>40</v>
      </c>
      <c r="B13" s="2" t="n">
        <v>900</v>
      </c>
      <c r="C13" s="2" t="s">
        <v>27</v>
      </c>
      <c r="D13" s="2" t="s">
        <v>35</v>
      </c>
      <c r="E13" s="2" t="n">
        <v>2.4</v>
      </c>
      <c r="F13" s="2" t="n">
        <v>0.9058</v>
      </c>
      <c r="G13" s="2" t="n">
        <v>0.5585</v>
      </c>
      <c r="H13" s="2" t="n">
        <v>0.8044</v>
      </c>
      <c r="I13" s="2" t="n">
        <v>0.5407</v>
      </c>
      <c r="J13" s="2" t="n">
        <v>0.3025</v>
      </c>
    </row>
    <row r="14" customFormat="false" ht="15" hidden="false" customHeight="false" outlineLevel="0" collapsed="false">
      <c r="A14" s="2" t="s">
        <v>41</v>
      </c>
      <c r="B14" s="2" t="n">
        <v>900</v>
      </c>
      <c r="C14" s="2" t="s">
        <v>27</v>
      </c>
      <c r="D14" s="2" t="s">
        <v>42</v>
      </c>
      <c r="E14" s="2" t="n">
        <v>0.55</v>
      </c>
      <c r="F14" s="2" t="n">
        <v>0.9988</v>
      </c>
      <c r="G14" s="2" t="n">
        <v>0.7328</v>
      </c>
      <c r="H14" s="2" t="n">
        <v>0.9826</v>
      </c>
      <c r="I14" s="2" t="n">
        <v>0.8173</v>
      </c>
      <c r="J14" s="2" t="n">
        <v>0.6456</v>
      </c>
    </row>
    <row r="15" customFormat="false" ht="15" hidden="false" customHeight="false" outlineLevel="0" collapsed="false">
      <c r="A15" s="2" t="s">
        <v>43</v>
      </c>
      <c r="B15" s="2" t="n">
        <v>900</v>
      </c>
      <c r="C15" s="2" t="s">
        <v>27</v>
      </c>
      <c r="D15" s="2" t="s">
        <v>42</v>
      </c>
      <c r="E15" s="2" t="n">
        <v>0.8</v>
      </c>
      <c r="F15" s="2" t="n">
        <v>0.9988</v>
      </c>
      <c r="G15" s="2" t="n">
        <v>0.734</v>
      </c>
      <c r="H15" s="2" t="n">
        <v>0.9826</v>
      </c>
      <c r="I15" s="2" t="n">
        <v>0.8174</v>
      </c>
      <c r="J15" s="2" t="n">
        <v>0.6471</v>
      </c>
    </row>
    <row r="16" customFormat="false" ht="15" hidden="false" customHeight="false" outlineLevel="0" collapsed="false">
      <c r="A16" s="2" t="s">
        <v>44</v>
      </c>
      <c r="B16" s="2" t="n">
        <v>900</v>
      </c>
      <c r="C16" s="2" t="s">
        <v>27</v>
      </c>
      <c r="D16" s="2" t="s">
        <v>42</v>
      </c>
      <c r="E16" s="2" t="n">
        <v>1</v>
      </c>
      <c r="F16" s="2" t="n">
        <v>0.9988</v>
      </c>
      <c r="G16" s="2" t="n">
        <v>0.735</v>
      </c>
      <c r="H16" s="2" t="n">
        <v>0.9826</v>
      </c>
      <c r="I16" s="2" t="n">
        <v>0.8174</v>
      </c>
      <c r="J16" s="2" t="n">
        <v>0.6481</v>
      </c>
    </row>
    <row r="17" customFormat="false" ht="15" hidden="false" customHeight="false" outlineLevel="0" collapsed="false">
      <c r="A17" s="2" t="s">
        <v>45</v>
      </c>
      <c r="B17" s="2" t="n">
        <v>900</v>
      </c>
      <c r="C17" s="2" t="s">
        <v>27</v>
      </c>
      <c r="D17" s="2" t="s">
        <v>42</v>
      </c>
      <c r="E17" s="2" t="n">
        <v>1.3</v>
      </c>
      <c r="F17" s="2" t="n">
        <v>0.9988</v>
      </c>
      <c r="G17" s="2" t="n">
        <v>0.7365</v>
      </c>
      <c r="H17" s="2" t="n">
        <v>0.9826</v>
      </c>
      <c r="I17" s="2" t="n">
        <v>0.8176</v>
      </c>
      <c r="J17" s="2" t="n">
        <v>0.6499</v>
      </c>
    </row>
    <row r="18" customFormat="false" ht="15" hidden="false" customHeight="false" outlineLevel="0" collapsed="false">
      <c r="A18" s="2" t="s">
        <v>46</v>
      </c>
      <c r="B18" s="2" t="n">
        <v>900</v>
      </c>
      <c r="C18" s="2" t="s">
        <v>27</v>
      </c>
      <c r="D18" s="2" t="s">
        <v>42</v>
      </c>
      <c r="E18" s="2" t="n">
        <v>1.85</v>
      </c>
      <c r="F18" s="2" t="n">
        <v>0.9988</v>
      </c>
      <c r="G18" s="2" t="n">
        <v>0.7388</v>
      </c>
      <c r="H18" s="2" t="n">
        <v>0.9827</v>
      </c>
      <c r="I18" s="2" t="n">
        <v>0.818</v>
      </c>
      <c r="J18" s="2" t="n">
        <v>0.653</v>
      </c>
    </row>
    <row r="19" customFormat="false" ht="15" hidden="false" customHeight="false" outlineLevel="0" collapsed="false">
      <c r="A19" s="2" t="s">
        <v>47</v>
      </c>
      <c r="B19" s="2" t="n">
        <v>900</v>
      </c>
      <c r="C19" s="2" t="s">
        <v>27</v>
      </c>
      <c r="D19" s="2" t="s">
        <v>42</v>
      </c>
      <c r="E19" s="2" t="n">
        <v>2.4</v>
      </c>
      <c r="F19" s="2" t="n">
        <v>0.9988</v>
      </c>
      <c r="G19" s="2" t="n">
        <v>0.7407</v>
      </c>
      <c r="H19" s="2" t="n">
        <v>0.9828</v>
      </c>
      <c r="I19" s="2" t="n">
        <v>0.8184</v>
      </c>
      <c r="J19" s="2" t="n">
        <v>0.6555</v>
      </c>
    </row>
    <row r="20" customFormat="false" ht="15" hidden="false" customHeight="false" outlineLevel="0" collapsed="false">
      <c r="A20" s="2" t="s">
        <v>48</v>
      </c>
      <c r="B20" s="2" t="n">
        <v>880</v>
      </c>
      <c r="C20" s="2" t="s">
        <v>49</v>
      </c>
      <c r="D20" s="2" t="s">
        <v>28</v>
      </c>
      <c r="E20" s="2" t="n">
        <v>0.55</v>
      </c>
      <c r="F20" s="2" t="n">
        <v>0.7609</v>
      </c>
      <c r="G20" s="2" t="n">
        <v>0.4424</v>
      </c>
      <c r="H20" s="2" t="n">
        <v>0.6316</v>
      </c>
      <c r="I20" s="2" t="n">
        <v>0.4024</v>
      </c>
      <c r="J20" s="2" t="n">
        <v>0.1938</v>
      </c>
    </row>
    <row r="21" customFormat="false" ht="15" hidden="false" customHeight="false" outlineLevel="0" collapsed="false">
      <c r="A21" s="2" t="s">
        <v>50</v>
      </c>
      <c r="B21" s="2" t="n">
        <v>880</v>
      </c>
      <c r="C21" s="2" t="s">
        <v>49</v>
      </c>
      <c r="D21" s="2" t="s">
        <v>28</v>
      </c>
      <c r="E21" s="2" t="n">
        <v>0.8</v>
      </c>
      <c r="F21" s="2" t="n">
        <v>0.7901</v>
      </c>
      <c r="G21" s="2" t="n">
        <v>0.4628</v>
      </c>
      <c r="H21" s="2" t="n">
        <v>0.6729</v>
      </c>
      <c r="I21" s="2" t="n">
        <v>0.4376</v>
      </c>
      <c r="J21" s="2" t="n">
        <v>0.2138</v>
      </c>
    </row>
    <row r="22" customFormat="false" ht="15" hidden="false" customHeight="false" outlineLevel="0" collapsed="false">
      <c r="A22" s="2" t="s">
        <v>51</v>
      </c>
      <c r="B22" s="2" t="n">
        <v>880</v>
      </c>
      <c r="C22" s="2" t="s">
        <v>49</v>
      </c>
      <c r="D22" s="2" t="s">
        <v>28</v>
      </c>
      <c r="E22" s="2" t="n">
        <v>1</v>
      </c>
      <c r="F22" s="2" t="n">
        <v>0.8114</v>
      </c>
      <c r="G22" s="2" t="n">
        <v>0.4758</v>
      </c>
      <c r="H22" s="2" t="n">
        <v>0.7002</v>
      </c>
      <c r="I22" s="2" t="n">
        <v>0.4615</v>
      </c>
      <c r="J22" s="2" t="n">
        <v>0.2264</v>
      </c>
    </row>
    <row r="23" customFormat="false" ht="15" hidden="false" customHeight="false" outlineLevel="0" collapsed="false">
      <c r="A23" s="2" t="s">
        <v>52</v>
      </c>
      <c r="B23" s="2" t="n">
        <v>880</v>
      </c>
      <c r="C23" s="2" t="s">
        <v>49</v>
      </c>
      <c r="D23" s="2" t="s">
        <v>28</v>
      </c>
      <c r="E23" s="2" t="n">
        <v>1.3</v>
      </c>
      <c r="F23" s="2" t="n">
        <v>0.8363</v>
      </c>
      <c r="G23" s="2" t="n">
        <v>0.491</v>
      </c>
      <c r="H23" s="2" t="n">
        <v>0.7309</v>
      </c>
      <c r="I23" s="2" t="n">
        <v>0.4918</v>
      </c>
      <c r="J23" s="2" t="n">
        <v>0.2444</v>
      </c>
    </row>
    <row r="24" customFormat="false" ht="15" hidden="false" customHeight="false" outlineLevel="0" collapsed="false">
      <c r="A24" s="2" t="s">
        <v>53</v>
      </c>
      <c r="B24" s="2" t="n">
        <v>880</v>
      </c>
      <c r="C24" s="2" t="s">
        <v>49</v>
      </c>
      <c r="D24" s="2" t="s">
        <v>28</v>
      </c>
      <c r="E24" s="2" t="n">
        <v>1.85</v>
      </c>
      <c r="F24" s="2" t="n">
        <v>0.8739</v>
      </c>
      <c r="G24" s="2" t="n">
        <v>0.5128</v>
      </c>
      <c r="H24" s="2" t="n">
        <v>0.7766</v>
      </c>
      <c r="I24" s="2" t="n">
        <v>0.5359</v>
      </c>
      <c r="J24" s="2" t="n">
        <v>0.2719</v>
      </c>
    </row>
    <row r="25" customFormat="false" ht="15" hidden="false" customHeight="false" outlineLevel="0" collapsed="false">
      <c r="A25" s="2" t="s">
        <v>54</v>
      </c>
      <c r="B25" s="2" t="n">
        <v>880</v>
      </c>
      <c r="C25" s="2" t="s">
        <v>49</v>
      </c>
      <c r="D25" s="2" t="s">
        <v>28</v>
      </c>
      <c r="E25" s="2" t="n">
        <v>2.4</v>
      </c>
      <c r="F25" s="2" t="n">
        <v>0.9001</v>
      </c>
      <c r="G25" s="2" t="n">
        <v>0.5286</v>
      </c>
      <c r="H25" s="2" t="n">
        <v>0.808</v>
      </c>
      <c r="I25" s="2" t="n">
        <v>0.5658</v>
      </c>
      <c r="J25" s="2" t="n">
        <v>0.2914</v>
      </c>
    </row>
    <row r="26" customFormat="false" ht="15" hidden="false" customHeight="false" outlineLevel="0" collapsed="false">
      <c r="A26" s="2" t="s">
        <v>55</v>
      </c>
      <c r="B26" s="2" t="n">
        <v>880</v>
      </c>
      <c r="C26" s="2" t="s">
        <v>49</v>
      </c>
      <c r="D26" s="2" t="s">
        <v>35</v>
      </c>
      <c r="E26" s="2" t="n">
        <v>0.55</v>
      </c>
      <c r="F26" s="2" t="n">
        <v>0.7707</v>
      </c>
      <c r="G26" s="2" t="n">
        <v>0.4652</v>
      </c>
      <c r="H26" s="2" t="n">
        <v>0.627</v>
      </c>
      <c r="I26" s="2" t="n">
        <v>0.3788</v>
      </c>
      <c r="J26" s="2" t="n">
        <v>0.1929</v>
      </c>
    </row>
    <row r="27" customFormat="false" ht="15" hidden="false" customHeight="false" outlineLevel="0" collapsed="false">
      <c r="A27" s="2" t="s">
        <v>56</v>
      </c>
      <c r="B27" s="2" t="n">
        <v>880</v>
      </c>
      <c r="C27" s="2" t="s">
        <v>49</v>
      </c>
      <c r="D27" s="2" t="s">
        <v>35</v>
      </c>
      <c r="E27" s="2" t="n">
        <v>0.8</v>
      </c>
      <c r="F27" s="2" t="n">
        <v>0.7987</v>
      </c>
      <c r="G27" s="2" t="n">
        <v>0.4861</v>
      </c>
      <c r="H27" s="2" t="n">
        <v>0.6684</v>
      </c>
      <c r="I27" s="2" t="n">
        <v>0.4138</v>
      </c>
      <c r="J27" s="2" t="n">
        <v>0.214</v>
      </c>
    </row>
    <row r="28" customFormat="false" ht="15" hidden="false" customHeight="false" outlineLevel="0" collapsed="false">
      <c r="A28" s="2" t="s">
        <v>57</v>
      </c>
      <c r="B28" s="2" t="n">
        <v>880</v>
      </c>
      <c r="C28" s="2" t="s">
        <v>49</v>
      </c>
      <c r="D28" s="2" t="s">
        <v>35</v>
      </c>
      <c r="E28" s="2" t="n">
        <v>1</v>
      </c>
      <c r="F28" s="2" t="n">
        <v>0.8192</v>
      </c>
      <c r="G28" s="2" t="n">
        <v>0.4997</v>
      </c>
      <c r="H28" s="2" t="n">
        <v>0.6959</v>
      </c>
      <c r="I28" s="2" t="n">
        <v>0.4376</v>
      </c>
      <c r="J28" s="2" t="n">
        <v>0.2279</v>
      </c>
    </row>
    <row r="29" customFormat="false" ht="15" hidden="false" customHeight="false" outlineLevel="0" collapsed="false">
      <c r="A29" s="2" t="s">
        <v>58</v>
      </c>
      <c r="B29" s="2" t="n">
        <v>880</v>
      </c>
      <c r="C29" s="2" t="s">
        <v>49</v>
      </c>
      <c r="D29" s="2" t="s">
        <v>35</v>
      </c>
      <c r="E29" s="2" t="n">
        <v>1.3</v>
      </c>
      <c r="F29" s="2" t="n">
        <v>0.8433</v>
      </c>
      <c r="G29" s="2" t="n">
        <v>0.5145</v>
      </c>
      <c r="H29" s="2" t="n">
        <v>0.726</v>
      </c>
      <c r="I29" s="2" t="n">
        <v>0.4675</v>
      </c>
      <c r="J29" s="2" t="n">
        <v>0.2468</v>
      </c>
    </row>
    <row r="30" customFormat="false" ht="15" hidden="false" customHeight="false" outlineLevel="0" collapsed="false">
      <c r="A30" s="2" t="s">
        <v>59</v>
      </c>
      <c r="B30" s="2" t="n">
        <v>880</v>
      </c>
      <c r="C30" s="2" t="s">
        <v>49</v>
      </c>
      <c r="D30" s="2" t="s">
        <v>35</v>
      </c>
      <c r="E30" s="2" t="n">
        <v>1.85</v>
      </c>
      <c r="F30" s="2" t="n">
        <v>0.88</v>
      </c>
      <c r="G30" s="2" t="n">
        <v>0.5364</v>
      </c>
      <c r="H30" s="2" t="n">
        <v>0.7721</v>
      </c>
      <c r="I30" s="2" t="n">
        <v>0.5119</v>
      </c>
      <c r="J30" s="2" t="n">
        <v>0.2753</v>
      </c>
    </row>
    <row r="31" customFormat="false" ht="15" hidden="false" customHeight="false" outlineLevel="0" collapsed="false">
      <c r="A31" s="2" t="s">
        <v>60</v>
      </c>
      <c r="B31" s="2" t="n">
        <v>880</v>
      </c>
      <c r="C31" s="2" t="s">
        <v>49</v>
      </c>
      <c r="D31" s="2" t="s">
        <v>35</v>
      </c>
      <c r="E31" s="2" t="n">
        <v>2.4</v>
      </c>
      <c r="F31" s="2" t="n">
        <v>0.9049</v>
      </c>
      <c r="G31" s="2" t="n">
        <v>0.5517</v>
      </c>
      <c r="H31" s="2" t="n">
        <v>0.8028</v>
      </c>
      <c r="I31" s="2" t="n">
        <v>0.5418</v>
      </c>
      <c r="J31" s="2" t="n">
        <v>0.2954</v>
      </c>
    </row>
    <row r="32" customFormat="false" ht="15" hidden="false" customHeight="false" outlineLevel="0" collapsed="false">
      <c r="A32" s="2" t="s">
        <v>61</v>
      </c>
      <c r="B32" s="2" t="n">
        <v>880</v>
      </c>
      <c r="C32" s="2" t="s">
        <v>49</v>
      </c>
      <c r="D32" s="2" t="s">
        <v>42</v>
      </c>
      <c r="E32" s="2" t="n">
        <v>0.55</v>
      </c>
      <c r="F32" s="2" t="n">
        <v>0.9987</v>
      </c>
      <c r="G32" s="2" t="n">
        <v>0.7254</v>
      </c>
      <c r="H32" s="2" t="n">
        <v>0.9819</v>
      </c>
      <c r="I32" s="2" t="n">
        <v>0.815</v>
      </c>
      <c r="J32" s="2" t="n">
        <v>0.6352</v>
      </c>
    </row>
    <row r="33" customFormat="false" ht="15" hidden="false" customHeight="false" outlineLevel="0" collapsed="false">
      <c r="A33" s="2" t="s">
        <v>62</v>
      </c>
      <c r="B33" s="2" t="n">
        <v>880</v>
      </c>
      <c r="C33" s="2" t="s">
        <v>49</v>
      </c>
      <c r="D33" s="2" t="s">
        <v>42</v>
      </c>
      <c r="E33" s="2" t="n">
        <v>0.8</v>
      </c>
      <c r="F33" s="2" t="n">
        <v>0.9987</v>
      </c>
      <c r="G33" s="2" t="n">
        <v>0.7264</v>
      </c>
      <c r="H33" s="2" t="n">
        <v>0.9819</v>
      </c>
      <c r="I33" s="2" t="n">
        <v>0.8152</v>
      </c>
      <c r="J33" s="2" t="n">
        <v>0.6364</v>
      </c>
    </row>
    <row r="34" customFormat="false" ht="15" hidden="false" customHeight="false" outlineLevel="0" collapsed="false">
      <c r="A34" s="2" t="s">
        <v>63</v>
      </c>
      <c r="B34" s="2" t="n">
        <v>880</v>
      </c>
      <c r="C34" s="2" t="s">
        <v>49</v>
      </c>
      <c r="D34" s="2" t="s">
        <v>42</v>
      </c>
      <c r="E34" s="2" t="n">
        <v>1</v>
      </c>
      <c r="F34" s="2" t="n">
        <v>0.9987</v>
      </c>
      <c r="G34" s="2" t="n">
        <v>0.7273</v>
      </c>
      <c r="H34" s="2" t="n">
        <v>0.9819</v>
      </c>
      <c r="I34" s="2" t="n">
        <v>0.8152</v>
      </c>
      <c r="J34" s="2" t="n">
        <v>0.6373</v>
      </c>
    </row>
    <row r="35" customFormat="false" ht="15" hidden="false" customHeight="false" outlineLevel="0" collapsed="false">
      <c r="A35" s="2" t="s">
        <v>64</v>
      </c>
      <c r="B35" s="2" t="n">
        <v>880</v>
      </c>
      <c r="C35" s="2" t="s">
        <v>49</v>
      </c>
      <c r="D35" s="2" t="s">
        <v>42</v>
      </c>
      <c r="E35" s="2" t="n">
        <v>1.3</v>
      </c>
      <c r="F35" s="2" t="n">
        <v>0.9987</v>
      </c>
      <c r="G35" s="2" t="n">
        <v>0.7288</v>
      </c>
      <c r="H35" s="2" t="n">
        <v>0.9819</v>
      </c>
      <c r="I35" s="2" t="n">
        <v>0.8153</v>
      </c>
      <c r="J35" s="2" t="n">
        <v>0.6392</v>
      </c>
    </row>
    <row r="36" customFormat="false" ht="15" hidden="false" customHeight="false" outlineLevel="0" collapsed="false">
      <c r="A36" s="2" t="s">
        <v>65</v>
      </c>
      <c r="B36" s="2" t="n">
        <v>880</v>
      </c>
      <c r="C36" s="2" t="s">
        <v>49</v>
      </c>
      <c r="D36" s="2" t="s">
        <v>42</v>
      </c>
      <c r="E36" s="2" t="n">
        <v>1.85</v>
      </c>
      <c r="F36" s="2" t="n">
        <v>0.9987</v>
      </c>
      <c r="G36" s="2" t="n">
        <v>0.731</v>
      </c>
      <c r="H36" s="2" t="n">
        <v>0.9821</v>
      </c>
      <c r="I36" s="2" t="n">
        <v>0.8158</v>
      </c>
      <c r="J36" s="2" t="n">
        <v>0.642</v>
      </c>
    </row>
    <row r="37" customFormat="false" ht="15" hidden="false" customHeight="false" outlineLevel="0" collapsed="false">
      <c r="A37" s="2" t="s">
        <v>66</v>
      </c>
      <c r="B37" s="2" t="n">
        <v>880</v>
      </c>
      <c r="C37" s="2" t="s">
        <v>49</v>
      </c>
      <c r="D37" s="2" t="s">
        <v>42</v>
      </c>
      <c r="E37" s="2" t="n">
        <v>2.4</v>
      </c>
      <c r="F37" s="2" t="n">
        <v>0.9987</v>
      </c>
      <c r="G37" s="2" t="n">
        <v>0.733</v>
      </c>
      <c r="H37" s="2" t="n">
        <v>0.9821</v>
      </c>
      <c r="I37" s="2" t="n">
        <v>0.8161</v>
      </c>
      <c r="J37" s="2" t="n">
        <v>0.6446</v>
      </c>
    </row>
    <row r="38" customFormat="false" ht="15" hidden="false" customHeight="false" outlineLevel="0" collapsed="false">
      <c r="A38" s="2" t="s">
        <v>67</v>
      </c>
      <c r="B38" s="2" t="n">
        <v>860</v>
      </c>
      <c r="C38" s="2" t="s">
        <v>68</v>
      </c>
      <c r="D38" s="2" t="s">
        <v>28</v>
      </c>
      <c r="E38" s="2" t="n">
        <v>0.55</v>
      </c>
      <c r="F38" s="2" t="n">
        <v>0.7551</v>
      </c>
      <c r="G38" s="2" t="n">
        <v>0.4333</v>
      </c>
      <c r="H38" s="2" t="n">
        <v>0.627</v>
      </c>
      <c r="I38" s="2" t="n">
        <v>0.4019</v>
      </c>
      <c r="J38" s="2" t="n">
        <v>0.188</v>
      </c>
    </row>
    <row r="39" customFormat="false" ht="15" hidden="false" customHeight="false" outlineLevel="0" collapsed="false">
      <c r="A39" s="2" t="s">
        <v>69</v>
      </c>
      <c r="B39" s="2" t="n">
        <v>860</v>
      </c>
      <c r="C39" s="2" t="s">
        <v>68</v>
      </c>
      <c r="D39" s="2" t="s">
        <v>28</v>
      </c>
      <c r="E39" s="2" t="n">
        <v>0.8</v>
      </c>
      <c r="F39" s="2" t="n">
        <v>0.7848</v>
      </c>
      <c r="G39" s="2" t="n">
        <v>0.4533</v>
      </c>
      <c r="H39" s="2" t="n">
        <v>0.6673</v>
      </c>
      <c r="I39" s="2" t="n">
        <v>0.437</v>
      </c>
      <c r="J39" s="2" t="n">
        <v>0.2081</v>
      </c>
    </row>
    <row r="40" customFormat="false" ht="15" hidden="false" customHeight="false" outlineLevel="0" collapsed="false">
      <c r="A40" s="2" t="s">
        <v>70</v>
      </c>
      <c r="B40" s="2" t="n">
        <v>860</v>
      </c>
      <c r="C40" s="2" t="s">
        <v>68</v>
      </c>
      <c r="D40" s="2" t="s">
        <v>28</v>
      </c>
      <c r="E40" s="2" t="n">
        <v>1</v>
      </c>
      <c r="F40" s="2" t="n">
        <v>0.8058</v>
      </c>
      <c r="G40" s="2" t="n">
        <v>0.4653</v>
      </c>
      <c r="H40" s="2" t="n">
        <v>0.6944</v>
      </c>
      <c r="I40" s="2" t="n">
        <v>0.4619</v>
      </c>
      <c r="J40" s="2" t="n">
        <v>0.2219</v>
      </c>
    </row>
    <row r="41" customFormat="false" ht="15" hidden="false" customHeight="false" outlineLevel="0" collapsed="false">
      <c r="A41" s="2" t="s">
        <v>71</v>
      </c>
      <c r="B41" s="2" t="n">
        <v>860</v>
      </c>
      <c r="C41" s="2" t="s">
        <v>68</v>
      </c>
      <c r="D41" s="2" t="s">
        <v>28</v>
      </c>
      <c r="E41" s="2" t="n">
        <v>1.3</v>
      </c>
      <c r="F41" s="2" t="n">
        <v>0.8315</v>
      </c>
      <c r="G41" s="2" t="n">
        <v>0.4808</v>
      </c>
      <c r="H41" s="2" t="n">
        <v>0.7257</v>
      </c>
      <c r="I41" s="2" t="n">
        <v>0.4913</v>
      </c>
      <c r="J41" s="2" t="n">
        <v>0.2394</v>
      </c>
    </row>
    <row r="42" customFormat="false" ht="15" hidden="false" customHeight="false" outlineLevel="0" collapsed="false">
      <c r="A42" s="2" t="s">
        <v>72</v>
      </c>
      <c r="B42" s="2" t="n">
        <v>860</v>
      </c>
      <c r="C42" s="2" t="s">
        <v>68</v>
      </c>
      <c r="D42" s="2" t="s">
        <v>28</v>
      </c>
      <c r="E42" s="2" t="n">
        <v>1.85</v>
      </c>
      <c r="F42" s="2" t="n">
        <v>0.8687</v>
      </c>
      <c r="G42" s="2" t="n">
        <v>0.5028</v>
      </c>
      <c r="H42" s="2" t="n">
        <v>0.7714</v>
      </c>
      <c r="I42" s="2" t="n">
        <v>0.5345</v>
      </c>
      <c r="J42" s="2" t="n">
        <v>0.2651</v>
      </c>
    </row>
    <row r="43" customFormat="false" ht="15" hidden="false" customHeight="false" outlineLevel="0" collapsed="false">
      <c r="A43" s="2" t="s">
        <v>73</v>
      </c>
      <c r="B43" s="2" t="n">
        <v>860</v>
      </c>
      <c r="C43" s="2" t="s">
        <v>68</v>
      </c>
      <c r="D43" s="2" t="s">
        <v>28</v>
      </c>
      <c r="E43" s="2" t="n">
        <v>2.4</v>
      </c>
      <c r="F43" s="2" t="n">
        <v>0.8975</v>
      </c>
      <c r="G43" s="2" t="n">
        <v>0.5194</v>
      </c>
      <c r="H43" s="2" t="n">
        <v>0.8068</v>
      </c>
      <c r="I43" s="2" t="n">
        <v>0.5674</v>
      </c>
      <c r="J43" s="2" t="n">
        <v>0.2845</v>
      </c>
    </row>
    <row r="44" customFormat="false" ht="15" hidden="false" customHeight="false" outlineLevel="0" collapsed="false">
      <c r="A44" s="2" t="s">
        <v>74</v>
      </c>
      <c r="B44" s="2" t="n">
        <v>860</v>
      </c>
      <c r="C44" s="2" t="s">
        <v>68</v>
      </c>
      <c r="D44" s="2" t="s">
        <v>35</v>
      </c>
      <c r="E44" s="2" t="n">
        <v>0.55</v>
      </c>
      <c r="F44" s="2" t="n">
        <v>0.7648</v>
      </c>
      <c r="G44" s="2" t="n">
        <v>0.457</v>
      </c>
      <c r="H44" s="2" t="n">
        <v>0.6222</v>
      </c>
      <c r="I44" s="2" t="n">
        <v>0.3776</v>
      </c>
      <c r="J44" s="2" t="n">
        <v>0.1872</v>
      </c>
    </row>
    <row r="45" customFormat="false" ht="15" hidden="false" customHeight="false" outlineLevel="0" collapsed="false">
      <c r="A45" s="2" t="s">
        <v>75</v>
      </c>
      <c r="B45" s="2" t="n">
        <v>860</v>
      </c>
      <c r="C45" s="2" t="s">
        <v>68</v>
      </c>
      <c r="D45" s="2" t="s">
        <v>35</v>
      </c>
      <c r="E45" s="2" t="n">
        <v>0.8</v>
      </c>
      <c r="F45" s="2" t="n">
        <v>0.7934</v>
      </c>
      <c r="G45" s="2" t="n">
        <v>0.4777</v>
      </c>
      <c r="H45" s="2" t="n">
        <v>0.6626</v>
      </c>
      <c r="I45" s="2" t="n">
        <v>0.4125</v>
      </c>
      <c r="J45" s="2" t="n">
        <v>0.2085</v>
      </c>
    </row>
    <row r="46" customFormat="false" ht="15" hidden="false" customHeight="false" outlineLevel="0" collapsed="false">
      <c r="A46" s="2" t="s">
        <v>76</v>
      </c>
      <c r="B46" s="2" t="n">
        <v>860</v>
      </c>
      <c r="C46" s="2" t="s">
        <v>68</v>
      </c>
      <c r="D46" s="2" t="s">
        <v>35</v>
      </c>
      <c r="E46" s="2" t="n">
        <v>1</v>
      </c>
      <c r="F46" s="2" t="n">
        <v>0.8139</v>
      </c>
      <c r="G46" s="2" t="n">
        <v>0.4899</v>
      </c>
      <c r="H46" s="2" t="n">
        <v>0.6899</v>
      </c>
      <c r="I46" s="2" t="n">
        <v>0.4378</v>
      </c>
      <c r="J46" s="2" t="n">
        <v>0.2235</v>
      </c>
    </row>
    <row r="47" customFormat="false" ht="15" hidden="false" customHeight="false" outlineLevel="0" collapsed="false">
      <c r="A47" s="2" t="s">
        <v>77</v>
      </c>
      <c r="B47" s="2" t="n">
        <v>860</v>
      </c>
      <c r="C47" s="2" t="s">
        <v>68</v>
      </c>
      <c r="D47" s="2" t="s">
        <v>35</v>
      </c>
      <c r="E47" s="2" t="n">
        <v>1.3</v>
      </c>
      <c r="F47" s="2" t="n">
        <v>0.8384</v>
      </c>
      <c r="G47" s="2" t="n">
        <v>0.505</v>
      </c>
      <c r="H47" s="2" t="n">
        <v>0.7205</v>
      </c>
      <c r="I47" s="2" t="n">
        <v>0.4667</v>
      </c>
      <c r="J47" s="2" t="n">
        <v>0.2415</v>
      </c>
    </row>
    <row r="48" customFormat="false" ht="15" hidden="false" customHeight="false" outlineLevel="0" collapsed="false">
      <c r="A48" s="2" t="s">
        <v>78</v>
      </c>
      <c r="B48" s="2" t="n">
        <v>860</v>
      </c>
      <c r="C48" s="2" t="s">
        <v>68</v>
      </c>
      <c r="D48" s="2" t="s">
        <v>35</v>
      </c>
      <c r="E48" s="2" t="n">
        <v>1.85</v>
      </c>
      <c r="F48" s="2" t="n">
        <v>0.8748</v>
      </c>
      <c r="G48" s="2" t="n">
        <v>0.5272</v>
      </c>
      <c r="H48" s="2" t="n">
        <v>0.7667</v>
      </c>
      <c r="I48" s="2" t="n">
        <v>0.5098</v>
      </c>
      <c r="J48" s="2" t="n">
        <v>0.2678</v>
      </c>
    </row>
    <row r="49" customFormat="false" ht="15" hidden="false" customHeight="false" outlineLevel="0" collapsed="false">
      <c r="A49" s="2" t="s">
        <v>79</v>
      </c>
      <c r="B49" s="2" t="n">
        <v>860</v>
      </c>
      <c r="C49" s="2" t="s">
        <v>68</v>
      </c>
      <c r="D49" s="2" t="s">
        <v>35</v>
      </c>
      <c r="E49" s="2" t="n">
        <v>2.4</v>
      </c>
      <c r="F49" s="2" t="n">
        <v>0.9024</v>
      </c>
      <c r="G49" s="2" t="n">
        <v>0.5431</v>
      </c>
      <c r="H49" s="2" t="n">
        <v>0.8012</v>
      </c>
      <c r="I49" s="2" t="n">
        <v>0.543</v>
      </c>
      <c r="J49" s="2" t="n">
        <v>0.2885</v>
      </c>
    </row>
    <row r="50" customFormat="false" ht="15" hidden="false" customHeight="false" outlineLevel="0" collapsed="false">
      <c r="A50" s="2" t="s">
        <v>80</v>
      </c>
      <c r="B50" s="2" t="n">
        <v>860</v>
      </c>
      <c r="C50" s="2" t="s">
        <v>68</v>
      </c>
      <c r="D50" s="2" t="s">
        <v>42</v>
      </c>
      <c r="E50" s="2" t="n">
        <v>0.55</v>
      </c>
      <c r="F50" s="2" t="n">
        <v>0.9985</v>
      </c>
      <c r="G50" s="2" t="n">
        <v>0.7174</v>
      </c>
      <c r="H50" s="2" t="n">
        <v>0.9812</v>
      </c>
      <c r="I50" s="2" t="n">
        <v>0.8135</v>
      </c>
      <c r="J50" s="2" t="n">
        <v>0.6254</v>
      </c>
    </row>
    <row r="51" customFormat="false" ht="15" hidden="false" customHeight="false" outlineLevel="0" collapsed="false">
      <c r="A51" s="2" t="s">
        <v>81</v>
      </c>
      <c r="B51" s="2" t="n">
        <v>860</v>
      </c>
      <c r="C51" s="2" t="s">
        <v>68</v>
      </c>
      <c r="D51" s="2" t="s">
        <v>42</v>
      </c>
      <c r="E51" s="2" t="n">
        <v>0.8</v>
      </c>
      <c r="F51" s="2" t="n">
        <v>0.9985</v>
      </c>
      <c r="G51" s="2" t="n">
        <v>0.7183</v>
      </c>
      <c r="H51" s="2" t="n">
        <v>0.9812</v>
      </c>
      <c r="I51" s="2" t="n">
        <v>0.8138</v>
      </c>
      <c r="J51" s="2" t="n">
        <v>0.6266</v>
      </c>
    </row>
    <row r="52" customFormat="false" ht="15" hidden="false" customHeight="false" outlineLevel="0" collapsed="false">
      <c r="A52" s="2" t="s">
        <v>82</v>
      </c>
      <c r="B52" s="2" t="n">
        <v>860</v>
      </c>
      <c r="C52" s="2" t="s">
        <v>68</v>
      </c>
      <c r="D52" s="2" t="s">
        <v>42</v>
      </c>
      <c r="E52" s="2" t="n">
        <v>1</v>
      </c>
      <c r="F52" s="2" t="n">
        <v>0.9985</v>
      </c>
      <c r="G52" s="2" t="n">
        <v>0.7191</v>
      </c>
      <c r="H52" s="2" t="n">
        <v>0.9812</v>
      </c>
      <c r="I52" s="2" t="n">
        <v>0.8137</v>
      </c>
      <c r="J52" s="2" t="n">
        <v>0.6274</v>
      </c>
    </row>
    <row r="53" customFormat="false" ht="15" hidden="false" customHeight="false" outlineLevel="0" collapsed="false">
      <c r="A53" s="2" t="s">
        <v>83</v>
      </c>
      <c r="B53" s="2" t="n">
        <v>860</v>
      </c>
      <c r="C53" s="2" t="s">
        <v>68</v>
      </c>
      <c r="D53" s="2" t="s">
        <v>42</v>
      </c>
      <c r="E53" s="2" t="n">
        <v>1.3</v>
      </c>
      <c r="F53" s="2" t="n">
        <v>0.9985</v>
      </c>
      <c r="G53" s="2" t="n">
        <v>0.7204</v>
      </c>
      <c r="H53" s="2" t="n">
        <v>0.9812</v>
      </c>
      <c r="I53" s="2" t="n">
        <v>0.8137</v>
      </c>
      <c r="J53" s="2" t="n">
        <v>0.629</v>
      </c>
    </row>
    <row r="54" customFormat="false" ht="15" hidden="false" customHeight="false" outlineLevel="0" collapsed="false">
      <c r="A54" s="2" t="s">
        <v>84</v>
      </c>
      <c r="B54" s="2" t="n">
        <v>860</v>
      </c>
      <c r="C54" s="2" t="s">
        <v>68</v>
      </c>
      <c r="D54" s="2" t="s">
        <v>42</v>
      </c>
      <c r="E54" s="2" t="n">
        <v>1.85</v>
      </c>
      <c r="F54" s="2" t="n">
        <v>0.9985</v>
      </c>
      <c r="G54" s="2" t="n">
        <v>0.7227</v>
      </c>
      <c r="H54" s="2" t="n">
        <v>0.9814</v>
      </c>
      <c r="I54" s="2" t="n">
        <v>0.8141</v>
      </c>
      <c r="J54" s="2" t="n">
        <v>0.632</v>
      </c>
    </row>
    <row r="55" customFormat="false" ht="15" hidden="false" customHeight="false" outlineLevel="0" collapsed="false">
      <c r="A55" s="2" t="s">
        <v>85</v>
      </c>
      <c r="B55" s="2" t="n">
        <v>860</v>
      </c>
      <c r="C55" s="2" t="s">
        <v>68</v>
      </c>
      <c r="D55" s="2" t="s">
        <v>42</v>
      </c>
      <c r="E55" s="2" t="n">
        <v>2.4</v>
      </c>
      <c r="F55" s="2" t="n">
        <v>0.9985</v>
      </c>
      <c r="G55" s="2" t="n">
        <v>0.7248</v>
      </c>
      <c r="H55" s="2" t="n">
        <v>0.9815</v>
      </c>
      <c r="I55" s="2" t="n">
        <v>0.8143</v>
      </c>
      <c r="J55" s="2" t="n">
        <v>0.6346</v>
      </c>
    </row>
    <row r="56" customFormat="false" ht="15" hidden="false" customHeight="false" outlineLevel="0" collapsed="false">
      <c r="A56" s="2" t="s">
        <v>86</v>
      </c>
      <c r="B56" s="2" t="n">
        <v>840</v>
      </c>
      <c r="C56" s="2" t="s">
        <v>87</v>
      </c>
      <c r="D56" s="2" t="s">
        <v>28</v>
      </c>
      <c r="E56" s="2" t="n">
        <v>0.55</v>
      </c>
      <c r="F56" s="2" t="n">
        <v>0.7504</v>
      </c>
      <c r="G56" s="2" t="n">
        <v>0.4219</v>
      </c>
      <c r="H56" s="2" t="n">
        <v>0.6218</v>
      </c>
      <c r="I56" s="2" t="n">
        <v>0.4028</v>
      </c>
      <c r="J56" s="2" t="n">
        <v>0.1829</v>
      </c>
    </row>
    <row r="57" customFormat="false" ht="15" hidden="false" customHeight="false" outlineLevel="0" collapsed="false">
      <c r="A57" s="2" t="s">
        <v>88</v>
      </c>
      <c r="B57" s="2" t="n">
        <v>840</v>
      </c>
      <c r="C57" s="2" t="s">
        <v>87</v>
      </c>
      <c r="D57" s="2" t="s">
        <v>28</v>
      </c>
      <c r="E57" s="2" t="n">
        <v>0.8</v>
      </c>
      <c r="F57" s="2" t="n">
        <v>0.7806</v>
      </c>
      <c r="G57" s="2" t="n">
        <v>0.4433</v>
      </c>
      <c r="H57" s="2" t="n">
        <v>0.6633</v>
      </c>
      <c r="I57" s="2" t="n">
        <v>0.4387</v>
      </c>
      <c r="J57" s="2" t="n">
        <v>0.2043</v>
      </c>
    </row>
    <row r="58" customFormat="false" ht="15" hidden="false" customHeight="false" outlineLevel="0" collapsed="false">
      <c r="A58" s="2" t="s">
        <v>89</v>
      </c>
      <c r="B58" s="2" t="n">
        <v>840</v>
      </c>
      <c r="C58" s="2" t="s">
        <v>87</v>
      </c>
      <c r="D58" s="2" t="s">
        <v>28</v>
      </c>
      <c r="E58" s="2" t="n">
        <v>1</v>
      </c>
      <c r="F58" s="2" t="n">
        <v>0.8031</v>
      </c>
      <c r="G58" s="2" t="n">
        <v>0.4565</v>
      </c>
      <c r="H58" s="2" t="n">
        <v>0.6926</v>
      </c>
      <c r="I58" s="2" t="n">
        <v>0.4647</v>
      </c>
      <c r="J58" s="2" t="n">
        <v>0.2178</v>
      </c>
    </row>
    <row r="59" customFormat="false" ht="15" hidden="false" customHeight="false" outlineLevel="0" collapsed="false">
      <c r="A59" s="2" t="s">
        <v>90</v>
      </c>
      <c r="B59" s="2" t="n">
        <v>840</v>
      </c>
      <c r="C59" s="2" t="s">
        <v>87</v>
      </c>
      <c r="D59" s="2" t="s">
        <v>28</v>
      </c>
      <c r="E59" s="2" t="n">
        <v>1.3</v>
      </c>
      <c r="F59" s="2" t="n">
        <v>0.8299</v>
      </c>
      <c r="G59" s="2" t="n">
        <v>0.4721</v>
      </c>
      <c r="H59" s="2" t="n">
        <v>0.7247</v>
      </c>
      <c r="I59" s="2" t="n">
        <v>0.4943</v>
      </c>
      <c r="J59" s="2" t="n">
        <v>0.2348</v>
      </c>
    </row>
    <row r="60" customFormat="false" ht="15" hidden="false" customHeight="false" outlineLevel="0" collapsed="false">
      <c r="A60" s="2" t="s">
        <v>91</v>
      </c>
      <c r="B60" s="2" t="n">
        <v>840</v>
      </c>
      <c r="C60" s="2" t="s">
        <v>87</v>
      </c>
      <c r="D60" s="2" t="s">
        <v>28</v>
      </c>
      <c r="E60" s="2" t="n">
        <v>1.85</v>
      </c>
      <c r="F60" s="2" t="n">
        <v>0.8679</v>
      </c>
      <c r="G60" s="2" t="n">
        <v>0.4929</v>
      </c>
      <c r="H60" s="2" t="n">
        <v>0.7704</v>
      </c>
      <c r="I60" s="2" t="n">
        <v>0.5371</v>
      </c>
      <c r="J60" s="2" t="n">
        <v>0.2595</v>
      </c>
    </row>
    <row r="61" customFormat="false" ht="15" hidden="false" customHeight="false" outlineLevel="0" collapsed="false">
      <c r="A61" s="2" t="s">
        <v>92</v>
      </c>
      <c r="B61" s="2" t="n">
        <v>840</v>
      </c>
      <c r="C61" s="2" t="s">
        <v>87</v>
      </c>
      <c r="D61" s="2" t="s">
        <v>28</v>
      </c>
      <c r="E61" s="2" t="n">
        <v>2.4</v>
      </c>
      <c r="F61" s="2" t="n">
        <v>0.8961</v>
      </c>
      <c r="G61" s="2" t="n">
        <v>0.5096</v>
      </c>
      <c r="H61" s="2" t="n">
        <v>0.8047</v>
      </c>
      <c r="I61" s="2" t="n">
        <v>0.5699</v>
      </c>
      <c r="J61" s="2" t="n">
        <v>0.2786</v>
      </c>
    </row>
    <row r="62" customFormat="false" ht="15" hidden="false" customHeight="false" outlineLevel="0" collapsed="false">
      <c r="A62" s="2" t="s">
        <v>93</v>
      </c>
      <c r="B62" s="2" t="n">
        <v>840</v>
      </c>
      <c r="C62" s="2" t="s">
        <v>87</v>
      </c>
      <c r="D62" s="2" t="s">
        <v>35</v>
      </c>
      <c r="E62" s="2" t="n">
        <v>0.55</v>
      </c>
      <c r="F62" s="2" t="n">
        <v>0.7597</v>
      </c>
      <c r="G62" s="2" t="n">
        <v>0.4464</v>
      </c>
      <c r="H62" s="2" t="n">
        <v>0.616</v>
      </c>
      <c r="I62" s="2" t="n">
        <v>0.3776</v>
      </c>
      <c r="J62" s="2" t="n">
        <v>0.1824</v>
      </c>
    </row>
    <row r="63" customFormat="false" ht="15" hidden="false" customHeight="false" outlineLevel="0" collapsed="false">
      <c r="A63" s="2" t="s">
        <v>94</v>
      </c>
      <c r="B63" s="2" t="n">
        <v>840</v>
      </c>
      <c r="C63" s="2" t="s">
        <v>87</v>
      </c>
      <c r="D63" s="2" t="s">
        <v>35</v>
      </c>
      <c r="E63" s="2" t="n">
        <v>0.8</v>
      </c>
      <c r="F63" s="2" t="n">
        <v>0.7891</v>
      </c>
      <c r="G63" s="2" t="n">
        <v>0.4686</v>
      </c>
      <c r="H63" s="2" t="n">
        <v>0.6585</v>
      </c>
      <c r="I63" s="2" t="n">
        <v>0.4135</v>
      </c>
      <c r="J63" s="2" t="n">
        <v>0.2053</v>
      </c>
    </row>
    <row r="64" customFormat="false" ht="15" hidden="false" customHeight="false" outlineLevel="0" collapsed="false">
      <c r="A64" s="2" t="s">
        <v>95</v>
      </c>
      <c r="B64" s="2" t="n">
        <v>840</v>
      </c>
      <c r="C64" s="2" t="s">
        <v>87</v>
      </c>
      <c r="D64" s="2" t="s">
        <v>35</v>
      </c>
      <c r="E64" s="2" t="n">
        <v>1</v>
      </c>
      <c r="F64" s="2" t="n">
        <v>0.8107</v>
      </c>
      <c r="G64" s="2" t="n">
        <v>0.4819</v>
      </c>
      <c r="H64" s="2" t="n">
        <v>0.6881</v>
      </c>
      <c r="I64" s="2" t="n">
        <v>0.4395</v>
      </c>
      <c r="J64" s="2" t="n">
        <v>0.2196</v>
      </c>
    </row>
    <row r="65" customFormat="false" ht="15" hidden="false" customHeight="false" outlineLevel="0" collapsed="false">
      <c r="A65" s="2" t="s">
        <v>96</v>
      </c>
      <c r="B65" s="2" t="n">
        <v>840</v>
      </c>
      <c r="C65" s="2" t="s">
        <v>87</v>
      </c>
      <c r="D65" s="2" t="s">
        <v>35</v>
      </c>
      <c r="E65" s="2" t="n">
        <v>1.3</v>
      </c>
      <c r="F65" s="2" t="n">
        <v>0.8367</v>
      </c>
      <c r="G65" s="2" t="n">
        <v>0.4971</v>
      </c>
      <c r="H65" s="2" t="n">
        <v>0.7198</v>
      </c>
      <c r="I65" s="2" t="n">
        <v>0.4693</v>
      </c>
      <c r="J65" s="2" t="n">
        <v>0.2371</v>
      </c>
    </row>
    <row r="66" customFormat="false" ht="15" hidden="false" customHeight="false" outlineLevel="0" collapsed="false">
      <c r="A66" s="2" t="s">
        <v>97</v>
      </c>
      <c r="B66" s="2" t="n">
        <v>840</v>
      </c>
      <c r="C66" s="2" t="s">
        <v>87</v>
      </c>
      <c r="D66" s="2" t="s">
        <v>35</v>
      </c>
      <c r="E66" s="2" t="n">
        <v>1.85</v>
      </c>
      <c r="F66" s="2" t="n">
        <v>0.8744</v>
      </c>
      <c r="G66" s="2" t="n">
        <v>0.5181</v>
      </c>
      <c r="H66" s="2" t="n">
        <v>0.7661</v>
      </c>
      <c r="I66" s="2" t="n">
        <v>0.5126</v>
      </c>
      <c r="J66" s="2" t="n">
        <v>0.2627</v>
      </c>
    </row>
    <row r="67" customFormat="false" ht="15" hidden="false" customHeight="false" outlineLevel="0" collapsed="false">
      <c r="A67" s="2" t="s">
        <v>98</v>
      </c>
      <c r="B67" s="2" t="n">
        <v>840</v>
      </c>
      <c r="C67" s="2" t="s">
        <v>87</v>
      </c>
      <c r="D67" s="2" t="s">
        <v>35</v>
      </c>
      <c r="E67" s="2" t="n">
        <v>2.4</v>
      </c>
      <c r="F67" s="2" t="n">
        <v>0.9012</v>
      </c>
      <c r="G67" s="2" t="n">
        <v>0.5344</v>
      </c>
      <c r="H67" s="2" t="n">
        <v>0.7998</v>
      </c>
      <c r="I67" s="2" t="n">
        <v>0.5454</v>
      </c>
      <c r="J67" s="2" t="n">
        <v>0.2828</v>
      </c>
    </row>
    <row r="68" customFormat="false" ht="15" hidden="false" customHeight="false" outlineLevel="0" collapsed="false">
      <c r="A68" s="2" t="s">
        <v>99</v>
      </c>
      <c r="B68" s="2" t="n">
        <v>840</v>
      </c>
      <c r="C68" s="2" t="s">
        <v>87</v>
      </c>
      <c r="D68" s="2" t="s">
        <v>42</v>
      </c>
      <c r="E68" s="2" t="n">
        <v>0.55</v>
      </c>
      <c r="F68" s="2" t="n">
        <v>0.9982</v>
      </c>
      <c r="G68" s="2" t="n">
        <v>0.7087</v>
      </c>
      <c r="H68" s="2" t="n">
        <v>0.9802</v>
      </c>
      <c r="I68" s="2" t="n">
        <v>0.8121</v>
      </c>
      <c r="J68" s="2" t="n">
        <v>0.6145</v>
      </c>
    </row>
    <row r="69" customFormat="false" ht="15" hidden="false" customHeight="false" outlineLevel="0" collapsed="false">
      <c r="A69" s="2" t="s">
        <v>100</v>
      </c>
      <c r="B69" s="2" t="n">
        <v>840</v>
      </c>
      <c r="C69" s="2" t="s">
        <v>87</v>
      </c>
      <c r="D69" s="2" t="s">
        <v>42</v>
      </c>
      <c r="E69" s="2" t="n">
        <v>0.8</v>
      </c>
      <c r="F69" s="2" t="n">
        <v>0.9982</v>
      </c>
      <c r="G69" s="2" t="n">
        <v>0.7096</v>
      </c>
      <c r="H69" s="2" t="n">
        <v>0.9802</v>
      </c>
      <c r="I69" s="2" t="n">
        <v>0.8124</v>
      </c>
      <c r="J69" s="2" t="n">
        <v>0.6157</v>
      </c>
    </row>
    <row r="70" customFormat="false" ht="15" hidden="false" customHeight="false" outlineLevel="0" collapsed="false">
      <c r="A70" s="2" t="s">
        <v>101</v>
      </c>
      <c r="B70" s="2" t="n">
        <v>840</v>
      </c>
      <c r="C70" s="2" t="s">
        <v>87</v>
      </c>
      <c r="D70" s="2" t="s">
        <v>42</v>
      </c>
      <c r="E70" s="2" t="n">
        <v>1</v>
      </c>
      <c r="F70" s="2" t="n">
        <v>0.9982</v>
      </c>
      <c r="G70" s="2" t="n">
        <v>0.7106</v>
      </c>
      <c r="H70" s="2" t="n">
        <v>0.9802</v>
      </c>
      <c r="I70" s="2" t="n">
        <v>0.8124</v>
      </c>
      <c r="J70" s="2" t="n">
        <v>0.6168</v>
      </c>
    </row>
    <row r="71" customFormat="false" ht="15" hidden="false" customHeight="false" outlineLevel="0" collapsed="false">
      <c r="A71" s="2" t="s">
        <v>102</v>
      </c>
      <c r="B71" s="2" t="n">
        <v>840</v>
      </c>
      <c r="C71" s="2" t="s">
        <v>87</v>
      </c>
      <c r="D71" s="2" t="s">
        <v>42</v>
      </c>
      <c r="E71" s="2" t="n">
        <v>1.3</v>
      </c>
      <c r="F71" s="2" t="n">
        <v>0.9982</v>
      </c>
      <c r="G71" s="2" t="n">
        <v>0.7119</v>
      </c>
      <c r="H71" s="2" t="n">
        <v>0.9802</v>
      </c>
      <c r="I71" s="2" t="n">
        <v>0.8122</v>
      </c>
      <c r="J71" s="2" t="n">
        <v>0.6183</v>
      </c>
    </row>
    <row r="72" customFormat="false" ht="15" hidden="false" customHeight="false" outlineLevel="0" collapsed="false">
      <c r="A72" s="2" t="s">
        <v>103</v>
      </c>
      <c r="B72" s="2" t="n">
        <v>840</v>
      </c>
      <c r="C72" s="2" t="s">
        <v>87</v>
      </c>
      <c r="D72" s="2" t="s">
        <v>42</v>
      </c>
      <c r="E72" s="2" t="n">
        <v>1.85</v>
      </c>
      <c r="F72" s="2" t="n">
        <v>0.9982</v>
      </c>
      <c r="G72" s="2" t="n">
        <v>0.7145</v>
      </c>
      <c r="H72" s="2" t="n">
        <v>0.9803</v>
      </c>
      <c r="I72" s="2" t="n">
        <v>0.8128</v>
      </c>
      <c r="J72" s="2" t="n">
        <v>0.6216</v>
      </c>
    </row>
    <row r="73" customFormat="false" ht="15" hidden="false" customHeight="false" outlineLevel="0" collapsed="false">
      <c r="A73" s="2" t="s">
        <v>104</v>
      </c>
      <c r="B73" s="2" t="n">
        <v>840</v>
      </c>
      <c r="C73" s="2" t="s">
        <v>87</v>
      </c>
      <c r="D73" s="2" t="s">
        <v>42</v>
      </c>
      <c r="E73" s="2" t="n">
        <v>2.4</v>
      </c>
      <c r="F73" s="2" t="n">
        <v>0.9982</v>
      </c>
      <c r="G73" s="2" t="n">
        <v>0.717</v>
      </c>
      <c r="H73" s="2" t="n">
        <v>0.9804</v>
      </c>
      <c r="I73" s="2" t="n">
        <v>0.8131</v>
      </c>
      <c r="J73" s="2" t="n">
        <v>0.6246</v>
      </c>
    </row>
    <row r="74" customFormat="false" ht="15" hidden="false" customHeight="false" outlineLevel="0" collapsed="false">
      <c r="A74" s="2" t="s">
        <v>105</v>
      </c>
      <c r="B74" s="2" t="n">
        <v>820</v>
      </c>
      <c r="C74" s="2" t="s">
        <v>106</v>
      </c>
      <c r="D74" s="2" t="s">
        <v>28</v>
      </c>
      <c r="E74" s="2" t="n">
        <v>0.55</v>
      </c>
      <c r="F74" s="2" t="n">
        <v>0.7433</v>
      </c>
      <c r="G74" s="2" t="n">
        <v>0.4124</v>
      </c>
      <c r="H74" s="2" t="n">
        <v>0.6146</v>
      </c>
      <c r="I74" s="2" t="n">
        <v>0.4008</v>
      </c>
      <c r="J74" s="2" t="n">
        <v>0.1783</v>
      </c>
    </row>
    <row r="75" customFormat="false" ht="15" hidden="false" customHeight="false" outlineLevel="0" collapsed="false">
      <c r="A75" s="2" t="s">
        <v>107</v>
      </c>
      <c r="B75" s="2" t="n">
        <v>820</v>
      </c>
      <c r="C75" s="2" t="s">
        <v>106</v>
      </c>
      <c r="D75" s="2" t="s">
        <v>28</v>
      </c>
      <c r="E75" s="2" t="n">
        <v>0.8</v>
      </c>
      <c r="F75" s="2" t="n">
        <v>0.7759</v>
      </c>
      <c r="G75" s="2" t="n">
        <v>0.435</v>
      </c>
      <c r="H75" s="2" t="n">
        <v>0.6596</v>
      </c>
      <c r="I75" s="2" t="n">
        <v>0.437</v>
      </c>
      <c r="J75" s="2" t="n">
        <v>0.1987</v>
      </c>
    </row>
    <row r="76" customFormat="false" ht="15" hidden="false" customHeight="false" outlineLevel="0" collapsed="false">
      <c r="A76" s="2" t="s">
        <v>108</v>
      </c>
      <c r="B76" s="2" t="n">
        <v>820</v>
      </c>
      <c r="C76" s="2" t="s">
        <v>106</v>
      </c>
      <c r="D76" s="2" t="s">
        <v>28</v>
      </c>
      <c r="E76" s="2" t="n">
        <v>1</v>
      </c>
      <c r="F76" s="2" t="n">
        <v>0.7986</v>
      </c>
      <c r="G76" s="2" t="n">
        <v>0.4487</v>
      </c>
      <c r="H76" s="2" t="n">
        <v>0.6881</v>
      </c>
      <c r="I76" s="2" t="n">
        <v>0.462</v>
      </c>
      <c r="J76" s="2" t="n">
        <v>0.2121</v>
      </c>
    </row>
    <row r="77" customFormat="false" ht="15" hidden="false" customHeight="false" outlineLevel="0" collapsed="false">
      <c r="A77" s="2" t="s">
        <v>109</v>
      </c>
      <c r="B77" s="2" t="n">
        <v>820</v>
      </c>
      <c r="C77" s="2" t="s">
        <v>106</v>
      </c>
      <c r="D77" s="2" t="s">
        <v>28</v>
      </c>
      <c r="E77" s="2" t="n">
        <v>1.3</v>
      </c>
      <c r="F77" s="2" t="n">
        <v>0.8257</v>
      </c>
      <c r="G77" s="2" t="n">
        <v>0.4638</v>
      </c>
      <c r="H77" s="2" t="n">
        <v>0.7209</v>
      </c>
      <c r="I77" s="2" t="n">
        <v>0.4933</v>
      </c>
      <c r="J77" s="2" t="n">
        <v>0.2296</v>
      </c>
    </row>
    <row r="78" customFormat="false" ht="15" hidden="false" customHeight="false" outlineLevel="0" collapsed="false">
      <c r="A78" s="2" t="s">
        <v>110</v>
      </c>
      <c r="B78" s="2" t="n">
        <v>820</v>
      </c>
      <c r="C78" s="2" t="s">
        <v>106</v>
      </c>
      <c r="D78" s="2" t="s">
        <v>28</v>
      </c>
      <c r="E78" s="2" t="n">
        <v>1.85</v>
      </c>
      <c r="F78" s="2" t="n">
        <v>0.8656</v>
      </c>
      <c r="G78" s="2" t="n">
        <v>0.4856</v>
      </c>
      <c r="H78" s="2" t="n">
        <v>0.7679</v>
      </c>
      <c r="I78" s="2" t="n">
        <v>0.537</v>
      </c>
      <c r="J78" s="2" t="n">
        <v>0.2532</v>
      </c>
    </row>
    <row r="79" customFormat="false" ht="15" hidden="false" customHeight="false" outlineLevel="0" collapsed="false">
      <c r="A79" s="2" t="s">
        <v>111</v>
      </c>
      <c r="B79" s="2" t="n">
        <v>820</v>
      </c>
      <c r="C79" s="2" t="s">
        <v>106</v>
      </c>
      <c r="D79" s="2" t="s">
        <v>28</v>
      </c>
      <c r="E79" s="2" t="n">
        <v>2.4</v>
      </c>
      <c r="F79" s="2" t="n">
        <v>0.8925</v>
      </c>
      <c r="G79" s="2" t="n">
        <v>0.502</v>
      </c>
      <c r="H79" s="2" t="n">
        <v>0.8006</v>
      </c>
      <c r="I79" s="2" t="n">
        <v>0.5687</v>
      </c>
      <c r="J79" s="2" t="n">
        <v>0.2737</v>
      </c>
    </row>
    <row r="80" customFormat="false" ht="15" hidden="false" customHeight="false" outlineLevel="0" collapsed="false">
      <c r="A80" s="2" t="s">
        <v>112</v>
      </c>
      <c r="B80" s="2" t="n">
        <v>820</v>
      </c>
      <c r="C80" s="2" t="s">
        <v>106</v>
      </c>
      <c r="D80" s="2" t="s">
        <v>35</v>
      </c>
      <c r="E80" s="2" t="n">
        <v>0.55</v>
      </c>
      <c r="F80" s="2" t="n">
        <v>0.7531</v>
      </c>
      <c r="G80" s="2" t="n">
        <v>0.4368</v>
      </c>
      <c r="H80" s="2" t="n">
        <v>0.6097</v>
      </c>
      <c r="I80" s="2" t="n">
        <v>0.3759</v>
      </c>
      <c r="J80" s="2" t="n">
        <v>0.1781</v>
      </c>
    </row>
    <row r="81" customFormat="false" ht="15" hidden="false" customHeight="false" outlineLevel="0" collapsed="false">
      <c r="A81" s="2" t="s">
        <v>113</v>
      </c>
      <c r="B81" s="2" t="n">
        <v>820</v>
      </c>
      <c r="C81" s="2" t="s">
        <v>106</v>
      </c>
      <c r="D81" s="2" t="s">
        <v>35</v>
      </c>
      <c r="E81" s="2" t="n">
        <v>0.8</v>
      </c>
      <c r="F81" s="2" t="n">
        <v>0.7847</v>
      </c>
      <c r="G81" s="2" t="n">
        <v>0.46</v>
      </c>
      <c r="H81" s="2" t="n">
        <v>0.6553</v>
      </c>
      <c r="I81" s="2" t="n">
        <v>0.4127</v>
      </c>
      <c r="J81" s="2" t="n">
        <v>0.2004</v>
      </c>
    </row>
    <row r="82" customFormat="false" ht="15" hidden="false" customHeight="false" outlineLevel="0" collapsed="false">
      <c r="A82" s="2" t="s">
        <v>114</v>
      </c>
      <c r="B82" s="2" t="n">
        <v>820</v>
      </c>
      <c r="C82" s="2" t="s">
        <v>106</v>
      </c>
      <c r="D82" s="2" t="s">
        <v>35</v>
      </c>
      <c r="E82" s="2" t="n">
        <v>1</v>
      </c>
      <c r="F82" s="2" t="n">
        <v>0.8066</v>
      </c>
      <c r="G82" s="2" t="n">
        <v>0.4737</v>
      </c>
      <c r="H82" s="2" t="n">
        <v>0.6839</v>
      </c>
      <c r="I82" s="2" t="n">
        <v>0.4376</v>
      </c>
      <c r="J82" s="2" t="n">
        <v>0.2141</v>
      </c>
    </row>
    <row r="83" customFormat="false" ht="15" hidden="false" customHeight="false" outlineLevel="0" collapsed="false">
      <c r="A83" s="2" t="s">
        <v>115</v>
      </c>
      <c r="B83" s="2" t="n">
        <v>820</v>
      </c>
      <c r="C83" s="2" t="s">
        <v>106</v>
      </c>
      <c r="D83" s="2" t="s">
        <v>35</v>
      </c>
      <c r="E83" s="2" t="n">
        <v>1.3</v>
      </c>
      <c r="F83" s="2" t="n">
        <v>0.8329</v>
      </c>
      <c r="G83" s="2" t="n">
        <v>0.489</v>
      </c>
      <c r="H83" s="2" t="n">
        <v>0.7167</v>
      </c>
      <c r="I83" s="2" t="n">
        <v>0.4685</v>
      </c>
      <c r="J83" s="2" t="n">
        <v>0.2318</v>
      </c>
    </row>
    <row r="84" customFormat="false" ht="15" hidden="false" customHeight="false" outlineLevel="0" collapsed="false">
      <c r="A84" s="2" t="s">
        <v>116</v>
      </c>
      <c r="B84" s="2" t="n">
        <v>820</v>
      </c>
      <c r="C84" s="2" t="s">
        <v>106</v>
      </c>
      <c r="D84" s="2" t="s">
        <v>35</v>
      </c>
      <c r="E84" s="2" t="n">
        <v>1.85</v>
      </c>
      <c r="F84" s="2" t="n">
        <v>0.872</v>
      </c>
      <c r="G84" s="2" t="n">
        <v>0.5107</v>
      </c>
      <c r="H84" s="2" t="n">
        <v>0.764</v>
      </c>
      <c r="I84" s="2" t="n">
        <v>0.5129</v>
      </c>
      <c r="J84" s="2" t="n">
        <v>0.257</v>
      </c>
    </row>
    <row r="85" customFormat="false" ht="15" hidden="false" customHeight="false" outlineLevel="0" collapsed="false">
      <c r="A85" s="2" t="s">
        <v>117</v>
      </c>
      <c r="B85" s="2" t="n">
        <v>820</v>
      </c>
      <c r="C85" s="2" t="s">
        <v>106</v>
      </c>
      <c r="D85" s="2" t="s">
        <v>35</v>
      </c>
      <c r="E85" s="2" t="n">
        <v>2.4</v>
      </c>
      <c r="F85" s="2" t="n">
        <v>0.8979</v>
      </c>
      <c r="G85" s="2" t="n">
        <v>0.527</v>
      </c>
      <c r="H85" s="2" t="n">
        <v>0.7966</v>
      </c>
      <c r="I85" s="2" t="n">
        <v>0.5448</v>
      </c>
      <c r="J85" s="2" t="n">
        <v>0.2784</v>
      </c>
    </row>
    <row r="86" customFormat="false" ht="15" hidden="false" customHeight="false" outlineLevel="0" collapsed="false">
      <c r="A86" s="2" t="s">
        <v>118</v>
      </c>
      <c r="B86" s="2" t="n">
        <v>820</v>
      </c>
      <c r="C86" s="2" t="s">
        <v>106</v>
      </c>
      <c r="D86" s="2" t="s">
        <v>42</v>
      </c>
      <c r="E86" s="2" t="n">
        <v>0.55</v>
      </c>
      <c r="F86" s="2" t="n">
        <v>0.998</v>
      </c>
      <c r="G86" s="2" t="n">
        <v>0.6993</v>
      </c>
      <c r="H86" s="2" t="n">
        <v>0.9793</v>
      </c>
      <c r="I86" s="2" t="n">
        <v>0.8101</v>
      </c>
      <c r="J86" s="2" t="n">
        <v>0.6028</v>
      </c>
    </row>
    <row r="87" customFormat="false" ht="15" hidden="false" customHeight="false" outlineLevel="0" collapsed="false">
      <c r="A87" s="2" t="s">
        <v>119</v>
      </c>
      <c r="B87" s="2" t="n">
        <v>820</v>
      </c>
      <c r="C87" s="2" t="s">
        <v>106</v>
      </c>
      <c r="D87" s="2" t="s">
        <v>42</v>
      </c>
      <c r="E87" s="2" t="n">
        <v>0.8</v>
      </c>
      <c r="F87" s="2" t="n">
        <v>0.998</v>
      </c>
      <c r="G87" s="2" t="n">
        <v>0.7005</v>
      </c>
      <c r="H87" s="2" t="n">
        <v>0.9793</v>
      </c>
      <c r="I87" s="2" t="n">
        <v>0.8103</v>
      </c>
      <c r="J87" s="2" t="n">
        <v>0.6042</v>
      </c>
    </row>
    <row r="88" customFormat="false" ht="15" hidden="false" customHeight="false" outlineLevel="0" collapsed="false">
      <c r="A88" s="2" t="s">
        <v>120</v>
      </c>
      <c r="B88" s="2" t="n">
        <v>820</v>
      </c>
      <c r="C88" s="2" t="s">
        <v>106</v>
      </c>
      <c r="D88" s="2" t="s">
        <v>42</v>
      </c>
      <c r="E88" s="2" t="n">
        <v>1</v>
      </c>
      <c r="F88" s="2" t="n">
        <v>0.998</v>
      </c>
      <c r="G88" s="2" t="n">
        <v>0.7015</v>
      </c>
      <c r="H88" s="2" t="n">
        <v>0.9793</v>
      </c>
      <c r="I88" s="2" t="n">
        <v>0.8103</v>
      </c>
      <c r="J88" s="2" t="n">
        <v>0.6052</v>
      </c>
    </row>
    <row r="89" customFormat="false" ht="15" hidden="false" customHeight="false" outlineLevel="0" collapsed="false">
      <c r="A89" s="2" t="s">
        <v>121</v>
      </c>
      <c r="B89" s="2" t="n">
        <v>820</v>
      </c>
      <c r="C89" s="2" t="s">
        <v>106</v>
      </c>
      <c r="D89" s="2" t="s">
        <v>42</v>
      </c>
      <c r="E89" s="2" t="n">
        <v>1.3</v>
      </c>
      <c r="F89" s="2" t="n">
        <v>0.998</v>
      </c>
      <c r="G89" s="2" t="n">
        <v>0.7026</v>
      </c>
      <c r="H89" s="2" t="n">
        <v>0.9794</v>
      </c>
      <c r="I89" s="2" t="n">
        <v>0.8102</v>
      </c>
      <c r="J89" s="2" t="n">
        <v>0.6064</v>
      </c>
    </row>
    <row r="90" customFormat="false" ht="15" hidden="false" customHeight="false" outlineLevel="0" collapsed="false">
      <c r="A90" s="2" t="s">
        <v>122</v>
      </c>
      <c r="B90" s="2" t="n">
        <v>820</v>
      </c>
      <c r="C90" s="2" t="s">
        <v>106</v>
      </c>
      <c r="D90" s="2" t="s">
        <v>42</v>
      </c>
      <c r="E90" s="2" t="n">
        <v>1.85</v>
      </c>
      <c r="F90" s="2" t="n">
        <v>0.998</v>
      </c>
      <c r="G90" s="2" t="n">
        <v>0.705</v>
      </c>
      <c r="H90" s="2" t="n">
        <v>0.9795</v>
      </c>
      <c r="I90" s="2" t="n">
        <v>0.8107</v>
      </c>
      <c r="J90" s="2" t="n">
        <v>0.6094</v>
      </c>
    </row>
    <row r="91" customFormat="false" ht="15" hidden="false" customHeight="false" outlineLevel="0" collapsed="false">
      <c r="A91" s="2" t="s">
        <v>123</v>
      </c>
      <c r="B91" s="2" t="n">
        <v>820</v>
      </c>
      <c r="C91" s="2" t="s">
        <v>106</v>
      </c>
      <c r="D91" s="2" t="s">
        <v>42</v>
      </c>
      <c r="E91" s="2" t="n">
        <v>2.4</v>
      </c>
      <c r="F91" s="2" t="n">
        <v>0.998</v>
      </c>
      <c r="G91" s="2" t="n">
        <v>0.7075</v>
      </c>
      <c r="H91" s="2" t="n">
        <v>0.9797</v>
      </c>
      <c r="I91" s="2" t="n">
        <v>0.811</v>
      </c>
      <c r="J91" s="2" t="n">
        <v>0.6123</v>
      </c>
    </row>
    <row r="92" customFormat="false" ht="15" hidden="false" customHeight="false" outlineLevel="0" collapsed="false">
      <c r="A92" s="2" t="s">
        <v>124</v>
      </c>
      <c r="B92" s="2" t="n">
        <v>800</v>
      </c>
      <c r="C92" s="2" t="s">
        <v>125</v>
      </c>
      <c r="D92" s="2" t="s">
        <v>28</v>
      </c>
      <c r="E92" s="2" t="n">
        <v>0.55</v>
      </c>
      <c r="F92" s="2" t="n">
        <v>0.7371</v>
      </c>
      <c r="G92" s="2" t="n">
        <v>0.4052</v>
      </c>
      <c r="H92" s="2" t="n">
        <v>0.6102</v>
      </c>
      <c r="I92" s="2" t="n">
        <v>0.3998</v>
      </c>
      <c r="J92" s="2" t="n">
        <v>0.1749</v>
      </c>
    </row>
    <row r="93" customFormat="false" ht="15" hidden="false" customHeight="false" outlineLevel="0" collapsed="false">
      <c r="A93" s="2" t="s">
        <v>126</v>
      </c>
      <c r="B93" s="2" t="n">
        <v>800</v>
      </c>
      <c r="C93" s="2" t="s">
        <v>125</v>
      </c>
      <c r="D93" s="2" t="s">
        <v>28</v>
      </c>
      <c r="E93" s="2" t="n">
        <v>0.8</v>
      </c>
      <c r="F93" s="2" t="n">
        <v>0.7691</v>
      </c>
      <c r="G93" s="2" t="n">
        <v>0.4277</v>
      </c>
      <c r="H93" s="2" t="n">
        <v>0.6544</v>
      </c>
      <c r="I93" s="2" t="n">
        <v>0.4359</v>
      </c>
      <c r="J93" s="2" t="n">
        <v>0.1955</v>
      </c>
    </row>
    <row r="94" customFormat="false" ht="15" hidden="false" customHeight="false" outlineLevel="0" collapsed="false">
      <c r="A94" s="2" t="s">
        <v>127</v>
      </c>
      <c r="B94" s="2" t="n">
        <v>800</v>
      </c>
      <c r="C94" s="2" t="s">
        <v>125</v>
      </c>
      <c r="D94" s="2" t="s">
        <v>28</v>
      </c>
      <c r="E94" s="2" t="n">
        <v>1</v>
      </c>
      <c r="F94" s="2" t="n">
        <v>0.7912</v>
      </c>
      <c r="G94" s="2" t="n">
        <v>0.4409</v>
      </c>
      <c r="H94" s="2" t="n">
        <v>0.6831</v>
      </c>
      <c r="I94" s="2" t="n">
        <v>0.4608</v>
      </c>
      <c r="J94" s="2" t="n">
        <v>0.2084</v>
      </c>
    </row>
    <row r="95" customFormat="false" ht="15" hidden="false" customHeight="false" outlineLevel="0" collapsed="false">
      <c r="A95" s="2" t="s">
        <v>128</v>
      </c>
      <c r="B95" s="2" t="n">
        <v>800</v>
      </c>
      <c r="C95" s="2" t="s">
        <v>125</v>
      </c>
      <c r="D95" s="2" t="s">
        <v>28</v>
      </c>
      <c r="E95" s="2" t="n">
        <v>1.3</v>
      </c>
      <c r="F95" s="2" t="n">
        <v>0.8196</v>
      </c>
      <c r="G95" s="2" t="n">
        <v>0.4556</v>
      </c>
      <c r="H95" s="2" t="n">
        <v>0.7163</v>
      </c>
      <c r="I95" s="2" t="n">
        <v>0.4923</v>
      </c>
      <c r="J95" s="2" t="n">
        <v>0.2249</v>
      </c>
    </row>
    <row r="96" customFormat="false" ht="15" hidden="false" customHeight="false" outlineLevel="0" collapsed="false">
      <c r="A96" s="2" t="s">
        <v>129</v>
      </c>
      <c r="B96" s="2" t="n">
        <v>800</v>
      </c>
      <c r="C96" s="2" t="s">
        <v>125</v>
      </c>
      <c r="D96" s="2" t="s">
        <v>28</v>
      </c>
      <c r="E96" s="2" t="n">
        <v>1.85</v>
      </c>
      <c r="F96" s="2" t="n">
        <v>0.8627</v>
      </c>
      <c r="G96" s="2" t="n">
        <v>0.4793</v>
      </c>
      <c r="H96" s="2" t="n">
        <v>0.7668</v>
      </c>
      <c r="I96" s="2" t="n">
        <v>0.5386</v>
      </c>
      <c r="J96" s="2" t="n">
        <v>0.25</v>
      </c>
    </row>
    <row r="97" customFormat="false" ht="15" hidden="false" customHeight="false" outlineLevel="0" collapsed="false">
      <c r="A97" s="2" t="s">
        <v>130</v>
      </c>
      <c r="B97" s="2" t="n">
        <v>800</v>
      </c>
      <c r="C97" s="2" t="s">
        <v>125</v>
      </c>
      <c r="D97" s="2" t="s">
        <v>28</v>
      </c>
      <c r="E97" s="2" t="n">
        <v>2.4</v>
      </c>
      <c r="F97" s="2" t="n">
        <v>0.891</v>
      </c>
      <c r="G97" s="2" t="n">
        <v>0.4968</v>
      </c>
      <c r="H97" s="2" t="n">
        <v>0.8002</v>
      </c>
      <c r="I97" s="2" t="n">
        <v>0.5711</v>
      </c>
      <c r="J97" s="2" t="n">
        <v>0.2705</v>
      </c>
    </row>
    <row r="98" customFormat="false" ht="15" hidden="false" customHeight="false" outlineLevel="0" collapsed="false">
      <c r="A98" s="2" t="s">
        <v>131</v>
      </c>
      <c r="B98" s="2" t="n">
        <v>800</v>
      </c>
      <c r="C98" s="2" t="s">
        <v>125</v>
      </c>
      <c r="D98" s="2" t="s">
        <v>35</v>
      </c>
      <c r="E98" s="2" t="n">
        <v>0.55</v>
      </c>
      <c r="F98" s="2" t="n">
        <v>0.7496</v>
      </c>
      <c r="G98" s="2" t="n">
        <v>0.431</v>
      </c>
      <c r="H98" s="2" t="n">
        <v>0.608</v>
      </c>
      <c r="I98" s="2" t="n">
        <v>0.3783</v>
      </c>
      <c r="J98" s="2" t="n">
        <v>0.1768</v>
      </c>
    </row>
    <row r="99" customFormat="false" ht="15" hidden="false" customHeight="false" outlineLevel="0" collapsed="false">
      <c r="A99" s="2" t="s">
        <v>132</v>
      </c>
      <c r="B99" s="2" t="n">
        <v>800</v>
      </c>
      <c r="C99" s="2" t="s">
        <v>125</v>
      </c>
      <c r="D99" s="2" t="s">
        <v>35</v>
      </c>
      <c r="E99" s="2" t="n">
        <v>0.8</v>
      </c>
      <c r="F99" s="2" t="n">
        <v>0.7808</v>
      </c>
      <c r="G99" s="2" t="n">
        <v>0.4548</v>
      </c>
      <c r="H99" s="2" t="n">
        <v>0.653</v>
      </c>
      <c r="I99" s="2" t="n">
        <v>0.4153</v>
      </c>
      <c r="J99" s="2" t="n">
        <v>0.2001</v>
      </c>
    </row>
    <row r="100" customFormat="false" ht="15" hidden="false" customHeight="false" outlineLevel="0" collapsed="false">
      <c r="A100" s="2" t="s">
        <v>133</v>
      </c>
      <c r="B100" s="2" t="n">
        <v>800</v>
      </c>
      <c r="C100" s="2" t="s">
        <v>125</v>
      </c>
      <c r="D100" s="2" t="s">
        <v>35</v>
      </c>
      <c r="E100" s="2" t="n">
        <v>1</v>
      </c>
      <c r="F100" s="2" t="n">
        <v>0.8024</v>
      </c>
      <c r="G100" s="2" t="n">
        <v>0.4696</v>
      </c>
      <c r="H100" s="2" t="n">
        <v>0.6832</v>
      </c>
      <c r="I100" s="2" t="n">
        <v>0.4409</v>
      </c>
      <c r="J100" s="2" t="n">
        <v>0.2145</v>
      </c>
    </row>
    <row r="101" customFormat="false" ht="15" hidden="false" customHeight="false" outlineLevel="0" collapsed="false">
      <c r="A101" s="2" t="s">
        <v>134</v>
      </c>
      <c r="B101" s="2" t="n">
        <v>800</v>
      </c>
      <c r="C101" s="2" t="s">
        <v>125</v>
      </c>
      <c r="D101" s="2" t="s">
        <v>35</v>
      </c>
      <c r="E101" s="2" t="n">
        <v>1.3</v>
      </c>
      <c r="F101" s="2" t="n">
        <v>0.8306</v>
      </c>
      <c r="G101" s="2" t="n">
        <v>0.4851</v>
      </c>
      <c r="H101" s="2" t="n">
        <v>0.7169</v>
      </c>
      <c r="I101" s="2" t="n">
        <v>0.4734</v>
      </c>
      <c r="J101" s="2" t="n">
        <v>0.2326</v>
      </c>
    </row>
    <row r="102" customFormat="false" ht="15" hidden="false" customHeight="false" outlineLevel="0" collapsed="false">
      <c r="A102" s="2" t="s">
        <v>135</v>
      </c>
      <c r="B102" s="2" t="n">
        <v>800</v>
      </c>
      <c r="C102" s="2" t="s">
        <v>125</v>
      </c>
      <c r="D102" s="2" t="s">
        <v>35</v>
      </c>
      <c r="E102" s="2" t="n">
        <v>1.85</v>
      </c>
      <c r="F102" s="2" t="n">
        <v>0.8723</v>
      </c>
      <c r="G102" s="2" t="n">
        <v>0.5098</v>
      </c>
      <c r="H102" s="2" t="n">
        <v>0.7681</v>
      </c>
      <c r="I102" s="2" t="n">
        <v>0.5203</v>
      </c>
      <c r="J102" s="2" t="n">
        <v>0.26</v>
      </c>
    </row>
    <row r="103" customFormat="false" ht="15" hidden="false" customHeight="false" outlineLevel="0" collapsed="false">
      <c r="A103" s="2" t="s">
        <v>136</v>
      </c>
      <c r="B103" s="2" t="n">
        <v>800</v>
      </c>
      <c r="C103" s="2" t="s">
        <v>125</v>
      </c>
      <c r="D103" s="2" t="s">
        <v>35</v>
      </c>
      <c r="E103" s="2" t="n">
        <v>2.4</v>
      </c>
      <c r="F103" s="2" t="n">
        <v>0.8997</v>
      </c>
      <c r="G103" s="2" t="n">
        <v>0.528</v>
      </c>
      <c r="H103" s="2" t="n">
        <v>0.8011</v>
      </c>
      <c r="I103" s="2" t="n">
        <v>0.5532</v>
      </c>
      <c r="J103" s="2" t="n">
        <v>0.2836</v>
      </c>
    </row>
    <row r="104" customFormat="false" ht="15" hidden="false" customHeight="false" outlineLevel="0" collapsed="false">
      <c r="A104" s="2" t="s">
        <v>137</v>
      </c>
      <c r="B104" s="2" t="n">
        <v>800</v>
      </c>
      <c r="C104" s="2" t="s">
        <v>125</v>
      </c>
      <c r="D104" s="2" t="s">
        <v>42</v>
      </c>
      <c r="E104" s="2" t="n">
        <v>0.55</v>
      </c>
      <c r="F104" s="2" t="n">
        <v>0.9975</v>
      </c>
      <c r="G104" s="2" t="n">
        <v>0.6908</v>
      </c>
      <c r="H104" s="2" t="n">
        <v>0.9782</v>
      </c>
      <c r="I104" s="2" t="n">
        <v>0.808</v>
      </c>
      <c r="J104" s="2" t="n">
        <v>0.5915</v>
      </c>
    </row>
    <row r="105" customFormat="false" ht="15" hidden="false" customHeight="false" outlineLevel="0" collapsed="false">
      <c r="A105" s="2" t="s">
        <v>138</v>
      </c>
      <c r="B105" s="2" t="n">
        <v>800</v>
      </c>
      <c r="C105" s="2" t="s">
        <v>125</v>
      </c>
      <c r="D105" s="2" t="s">
        <v>42</v>
      </c>
      <c r="E105" s="2" t="n">
        <v>0.8</v>
      </c>
      <c r="F105" s="2" t="n">
        <v>0.9975</v>
      </c>
      <c r="G105" s="2" t="n">
        <v>0.6918</v>
      </c>
      <c r="H105" s="2" t="n">
        <v>0.9782</v>
      </c>
      <c r="I105" s="2" t="n">
        <v>0.8081</v>
      </c>
      <c r="J105" s="2" t="n">
        <v>0.5926</v>
      </c>
    </row>
    <row r="106" customFormat="false" ht="15" hidden="false" customHeight="false" outlineLevel="0" collapsed="false">
      <c r="A106" s="2" t="s">
        <v>139</v>
      </c>
      <c r="B106" s="2" t="n">
        <v>800</v>
      </c>
      <c r="C106" s="2" t="s">
        <v>125</v>
      </c>
      <c r="D106" s="2" t="s">
        <v>42</v>
      </c>
      <c r="E106" s="2" t="n">
        <v>1</v>
      </c>
      <c r="F106" s="2" t="n">
        <v>0.9975</v>
      </c>
      <c r="G106" s="2" t="n">
        <v>0.6927</v>
      </c>
      <c r="H106" s="2" t="n">
        <v>0.9782</v>
      </c>
      <c r="I106" s="2" t="n">
        <v>0.808</v>
      </c>
      <c r="J106" s="2" t="n">
        <v>0.5935</v>
      </c>
    </row>
    <row r="107" customFormat="false" ht="15" hidden="false" customHeight="false" outlineLevel="0" collapsed="false">
      <c r="A107" s="2" t="s">
        <v>140</v>
      </c>
      <c r="B107" s="2" t="n">
        <v>800</v>
      </c>
      <c r="C107" s="2" t="s">
        <v>125</v>
      </c>
      <c r="D107" s="2" t="s">
        <v>42</v>
      </c>
      <c r="E107" s="2" t="n">
        <v>1.3</v>
      </c>
      <c r="F107" s="2" t="n">
        <v>0.9975</v>
      </c>
      <c r="G107" s="2" t="n">
        <v>0.694</v>
      </c>
      <c r="H107" s="2" t="n">
        <v>0.9783</v>
      </c>
      <c r="I107" s="2" t="n">
        <v>0.8079</v>
      </c>
      <c r="J107" s="2" t="n">
        <v>0.5949</v>
      </c>
    </row>
    <row r="108" customFormat="false" ht="15" hidden="false" customHeight="false" outlineLevel="0" collapsed="false">
      <c r="A108" s="2" t="s">
        <v>141</v>
      </c>
      <c r="B108" s="2" t="n">
        <v>800</v>
      </c>
      <c r="C108" s="2" t="s">
        <v>125</v>
      </c>
      <c r="D108" s="2" t="s">
        <v>42</v>
      </c>
      <c r="E108" s="2" t="n">
        <v>1.85</v>
      </c>
      <c r="F108" s="2" t="n">
        <v>0.9975</v>
      </c>
      <c r="G108" s="2" t="n">
        <v>0.6968</v>
      </c>
      <c r="H108" s="2" t="n">
        <v>0.9784</v>
      </c>
      <c r="I108" s="2" t="n">
        <v>0.8082</v>
      </c>
      <c r="J108" s="2" t="n">
        <v>0.5984</v>
      </c>
    </row>
    <row r="109" customFormat="false" ht="15" hidden="false" customHeight="false" outlineLevel="0" collapsed="false">
      <c r="A109" s="2" t="s">
        <v>142</v>
      </c>
      <c r="B109" s="2" t="n">
        <v>800</v>
      </c>
      <c r="C109" s="2" t="s">
        <v>125</v>
      </c>
      <c r="D109" s="2" t="s">
        <v>42</v>
      </c>
      <c r="E109" s="2" t="n">
        <v>2.4</v>
      </c>
      <c r="F109" s="2" t="n">
        <v>0.9975</v>
      </c>
      <c r="G109" s="2" t="n">
        <v>0.699</v>
      </c>
      <c r="H109" s="2" t="n">
        <v>0.9786</v>
      </c>
      <c r="I109" s="2" t="n">
        <v>0.8087</v>
      </c>
      <c r="J109" s="2" t="n">
        <v>0.6013</v>
      </c>
    </row>
    <row r="110" customFormat="false" ht="15" hidden="false" customHeight="false" outlineLevel="0" collapsed="false">
      <c r="A110" s="2" t="s">
        <v>143</v>
      </c>
      <c r="B110" s="2" t="n">
        <v>780</v>
      </c>
      <c r="C110" s="2" t="s">
        <v>144</v>
      </c>
      <c r="D110" s="2" t="s">
        <v>28</v>
      </c>
      <c r="E110" s="2" t="n">
        <v>0.55</v>
      </c>
      <c r="F110" s="2" t="n">
        <v>0.7313</v>
      </c>
      <c r="G110" s="2" t="n">
        <v>0.3962</v>
      </c>
      <c r="H110" s="2" t="n">
        <v>0.6064</v>
      </c>
      <c r="I110" s="2" t="n">
        <v>0.398</v>
      </c>
      <c r="J110" s="2" t="n">
        <v>0.1692</v>
      </c>
    </row>
    <row r="111" customFormat="false" ht="15" hidden="false" customHeight="false" outlineLevel="0" collapsed="false">
      <c r="A111" s="2" t="s">
        <v>145</v>
      </c>
      <c r="B111" s="2" t="n">
        <v>780</v>
      </c>
      <c r="C111" s="2" t="s">
        <v>144</v>
      </c>
      <c r="D111" s="2" t="s">
        <v>28</v>
      </c>
      <c r="E111" s="2" t="n">
        <v>0.8</v>
      </c>
      <c r="F111" s="2" t="n">
        <v>0.7634</v>
      </c>
      <c r="G111" s="2" t="n">
        <v>0.4189</v>
      </c>
      <c r="H111" s="2" t="n">
        <v>0.6504</v>
      </c>
      <c r="I111" s="2" t="n">
        <v>0.4338</v>
      </c>
      <c r="J111" s="2" t="n">
        <v>0.1893</v>
      </c>
    </row>
    <row r="112" customFormat="false" ht="15" hidden="false" customHeight="false" outlineLevel="0" collapsed="false">
      <c r="A112" s="2" t="s">
        <v>146</v>
      </c>
      <c r="B112" s="2" t="n">
        <v>780</v>
      </c>
      <c r="C112" s="2" t="s">
        <v>144</v>
      </c>
      <c r="D112" s="2" t="s">
        <v>28</v>
      </c>
      <c r="E112" s="2" t="n">
        <v>1</v>
      </c>
      <c r="F112" s="2" t="n">
        <v>0.7858</v>
      </c>
      <c r="G112" s="2" t="n">
        <v>0.4322</v>
      </c>
      <c r="H112" s="2" t="n">
        <v>0.6778</v>
      </c>
      <c r="I112" s="2" t="n">
        <v>0.4585</v>
      </c>
      <c r="J112" s="2" t="n">
        <v>0.2017</v>
      </c>
    </row>
    <row r="113" customFormat="false" ht="15" hidden="false" customHeight="false" outlineLevel="0" collapsed="false">
      <c r="A113" s="2" t="s">
        <v>147</v>
      </c>
      <c r="B113" s="2" t="n">
        <v>780</v>
      </c>
      <c r="C113" s="2" t="s">
        <v>144</v>
      </c>
      <c r="D113" s="2" t="s">
        <v>28</v>
      </c>
      <c r="E113" s="2" t="n">
        <v>1.3</v>
      </c>
      <c r="F113" s="2" t="n">
        <v>0.8159</v>
      </c>
      <c r="G113" s="2" t="n">
        <v>0.4477</v>
      </c>
      <c r="H113" s="2" t="n">
        <v>0.7133</v>
      </c>
      <c r="I113" s="2" t="n">
        <v>0.4915</v>
      </c>
      <c r="J113" s="2" t="n">
        <v>0.2185</v>
      </c>
    </row>
    <row r="114" customFormat="false" ht="15" hidden="false" customHeight="false" outlineLevel="0" collapsed="false">
      <c r="A114" s="2" t="s">
        <v>148</v>
      </c>
      <c r="B114" s="2" t="n">
        <v>780</v>
      </c>
      <c r="C114" s="2" t="s">
        <v>144</v>
      </c>
      <c r="D114" s="2" t="s">
        <v>28</v>
      </c>
      <c r="E114" s="2" t="n">
        <v>1.85</v>
      </c>
      <c r="F114" s="2" t="n">
        <v>0.8576</v>
      </c>
      <c r="G114" s="2" t="n">
        <v>0.4708</v>
      </c>
      <c r="H114" s="2" t="n">
        <v>0.7637</v>
      </c>
      <c r="I114" s="2" t="n">
        <v>0.5371</v>
      </c>
      <c r="J114" s="2" t="n">
        <v>0.2433</v>
      </c>
    </row>
    <row r="115" customFormat="false" ht="15" hidden="false" customHeight="false" outlineLevel="0" collapsed="false">
      <c r="A115" s="2" t="s">
        <v>149</v>
      </c>
      <c r="B115" s="2" t="n">
        <v>780</v>
      </c>
      <c r="C115" s="2" t="s">
        <v>144</v>
      </c>
      <c r="D115" s="2" t="s">
        <v>28</v>
      </c>
      <c r="E115" s="2" t="n">
        <v>2.4</v>
      </c>
      <c r="F115" s="2" t="n">
        <v>0.8878</v>
      </c>
      <c r="G115" s="2" t="n">
        <v>0.4889</v>
      </c>
      <c r="H115" s="2" t="n">
        <v>0.7979</v>
      </c>
      <c r="I115" s="2" t="n">
        <v>0.5706</v>
      </c>
      <c r="J115" s="2" t="n">
        <v>0.2652</v>
      </c>
    </row>
    <row r="116" customFormat="false" ht="15" hidden="false" customHeight="false" outlineLevel="0" collapsed="false">
      <c r="A116" s="2" t="s">
        <v>150</v>
      </c>
      <c r="B116" s="2" t="n">
        <v>780</v>
      </c>
      <c r="C116" s="2" t="s">
        <v>144</v>
      </c>
      <c r="D116" s="2" t="s">
        <v>35</v>
      </c>
      <c r="E116" s="2" t="n">
        <v>0.55</v>
      </c>
      <c r="F116" s="2" t="n">
        <v>0.7446</v>
      </c>
      <c r="G116" s="2" t="n">
        <v>0.4231</v>
      </c>
      <c r="H116" s="2" t="n">
        <v>0.6056</v>
      </c>
      <c r="I116" s="2" t="n">
        <v>0.3778</v>
      </c>
      <c r="J116" s="2" t="n">
        <v>0.1726</v>
      </c>
    </row>
    <row r="117" customFormat="false" ht="15" hidden="false" customHeight="false" outlineLevel="0" collapsed="false">
      <c r="A117" s="2" t="s">
        <v>151</v>
      </c>
      <c r="B117" s="2" t="n">
        <v>780</v>
      </c>
      <c r="C117" s="2" t="s">
        <v>144</v>
      </c>
      <c r="D117" s="2" t="s">
        <v>35</v>
      </c>
      <c r="E117" s="2" t="n">
        <v>0.8</v>
      </c>
      <c r="F117" s="2" t="n">
        <v>0.7761</v>
      </c>
      <c r="G117" s="2" t="n">
        <v>0.4486</v>
      </c>
      <c r="H117" s="2" t="n">
        <v>0.6515</v>
      </c>
      <c r="I117" s="2" t="n">
        <v>0.4152</v>
      </c>
      <c r="J117" s="2" t="n">
        <v>0.1966</v>
      </c>
    </row>
    <row r="118" customFormat="false" ht="15" hidden="false" customHeight="false" outlineLevel="0" collapsed="false">
      <c r="A118" s="2" t="s">
        <v>152</v>
      </c>
      <c r="B118" s="2" t="n">
        <v>780</v>
      </c>
      <c r="C118" s="2" t="s">
        <v>144</v>
      </c>
      <c r="D118" s="2" t="s">
        <v>35</v>
      </c>
      <c r="E118" s="2" t="n">
        <v>1</v>
      </c>
      <c r="F118" s="2" t="n">
        <v>0.7986</v>
      </c>
      <c r="G118" s="2" t="n">
        <v>0.4641</v>
      </c>
      <c r="H118" s="2" t="n">
        <v>0.6805</v>
      </c>
      <c r="I118" s="2" t="n">
        <v>0.4409</v>
      </c>
      <c r="J118" s="2" t="n">
        <v>0.2115</v>
      </c>
    </row>
    <row r="119" customFormat="false" ht="15" hidden="false" customHeight="false" outlineLevel="0" collapsed="false">
      <c r="A119" s="2" t="s">
        <v>153</v>
      </c>
      <c r="B119" s="2" t="n">
        <v>780</v>
      </c>
      <c r="C119" s="2" t="s">
        <v>144</v>
      </c>
      <c r="D119" s="2" t="s">
        <v>35</v>
      </c>
      <c r="E119" s="2" t="n">
        <v>1.3</v>
      </c>
      <c r="F119" s="2" t="n">
        <v>0.8275</v>
      </c>
      <c r="G119" s="2" t="n">
        <v>0.4796</v>
      </c>
      <c r="H119" s="2" t="n">
        <v>0.7154</v>
      </c>
      <c r="I119" s="2" t="n">
        <v>0.4742</v>
      </c>
      <c r="J119" s="2" t="n">
        <v>0.2296</v>
      </c>
    </row>
    <row r="120" customFormat="false" ht="15" hidden="false" customHeight="false" outlineLevel="0" collapsed="false">
      <c r="A120" s="2" t="s">
        <v>154</v>
      </c>
      <c r="B120" s="2" t="n">
        <v>780</v>
      </c>
      <c r="C120" s="2" t="s">
        <v>144</v>
      </c>
      <c r="D120" s="2" t="s">
        <v>35</v>
      </c>
      <c r="E120" s="2" t="n">
        <v>1.85</v>
      </c>
      <c r="F120" s="2" t="n">
        <v>0.8685</v>
      </c>
      <c r="G120" s="2" t="n">
        <v>0.5033</v>
      </c>
      <c r="H120" s="2" t="n">
        <v>0.7665</v>
      </c>
      <c r="I120" s="2" t="n">
        <v>0.522</v>
      </c>
      <c r="J120" s="2" t="n">
        <v>0.2588</v>
      </c>
    </row>
    <row r="121" customFormat="false" ht="15" hidden="false" customHeight="false" outlineLevel="0" collapsed="false">
      <c r="A121" s="2" t="s">
        <v>155</v>
      </c>
      <c r="B121" s="2" t="n">
        <v>780</v>
      </c>
      <c r="C121" s="2" t="s">
        <v>144</v>
      </c>
      <c r="D121" s="2" t="s">
        <v>35</v>
      </c>
      <c r="E121" s="2" t="n">
        <v>2.4</v>
      </c>
      <c r="F121" s="2" t="n">
        <v>0.8974</v>
      </c>
      <c r="G121" s="2" t="n">
        <v>0.5222</v>
      </c>
      <c r="H121" s="2" t="n">
        <v>0.8001</v>
      </c>
      <c r="I121" s="2" t="n">
        <v>0.5559</v>
      </c>
      <c r="J121" s="2" t="n">
        <v>0.2841</v>
      </c>
    </row>
    <row r="122" customFormat="false" ht="15" hidden="false" customHeight="false" outlineLevel="0" collapsed="false">
      <c r="A122" s="2" t="s">
        <v>156</v>
      </c>
      <c r="B122" s="2" t="n">
        <v>780</v>
      </c>
      <c r="C122" s="2" t="s">
        <v>144</v>
      </c>
      <c r="D122" s="2" t="s">
        <v>42</v>
      </c>
      <c r="E122" s="2" t="n">
        <v>0.55</v>
      </c>
      <c r="F122" s="2" t="n">
        <v>0.997</v>
      </c>
      <c r="G122" s="2" t="n">
        <v>0.682</v>
      </c>
      <c r="H122" s="2" t="n">
        <v>0.9767</v>
      </c>
      <c r="I122" s="2" t="n">
        <v>0.805</v>
      </c>
      <c r="J122" s="2" t="n">
        <v>0.5791</v>
      </c>
    </row>
    <row r="123" customFormat="false" ht="15" hidden="false" customHeight="false" outlineLevel="0" collapsed="false">
      <c r="A123" s="2" t="s">
        <v>157</v>
      </c>
      <c r="B123" s="2" t="n">
        <v>780</v>
      </c>
      <c r="C123" s="2" t="s">
        <v>144</v>
      </c>
      <c r="D123" s="2" t="s">
        <v>42</v>
      </c>
      <c r="E123" s="2" t="n">
        <v>0.8</v>
      </c>
      <c r="F123" s="2" t="n">
        <v>0.997</v>
      </c>
      <c r="G123" s="2" t="n">
        <v>0.683</v>
      </c>
      <c r="H123" s="2" t="n">
        <v>0.9767</v>
      </c>
      <c r="I123" s="2" t="n">
        <v>0.8049</v>
      </c>
      <c r="J123" s="2" t="n">
        <v>0.58</v>
      </c>
    </row>
    <row r="124" customFormat="false" ht="15" hidden="false" customHeight="false" outlineLevel="0" collapsed="false">
      <c r="A124" s="2" t="s">
        <v>158</v>
      </c>
      <c r="B124" s="2" t="n">
        <v>780</v>
      </c>
      <c r="C124" s="2" t="s">
        <v>144</v>
      </c>
      <c r="D124" s="2" t="s">
        <v>42</v>
      </c>
      <c r="E124" s="2" t="n">
        <v>1</v>
      </c>
      <c r="F124" s="2" t="n">
        <v>0.997</v>
      </c>
      <c r="G124" s="2" t="n">
        <v>0.6838</v>
      </c>
      <c r="H124" s="2" t="n">
        <v>0.9767</v>
      </c>
      <c r="I124" s="2" t="n">
        <v>0.8049</v>
      </c>
      <c r="J124" s="2" t="n">
        <v>0.5809</v>
      </c>
    </row>
    <row r="125" customFormat="false" ht="15" hidden="false" customHeight="false" outlineLevel="0" collapsed="false">
      <c r="A125" s="2" t="s">
        <v>159</v>
      </c>
      <c r="B125" s="2" t="n">
        <v>780</v>
      </c>
      <c r="C125" s="2" t="s">
        <v>144</v>
      </c>
      <c r="D125" s="2" t="s">
        <v>42</v>
      </c>
      <c r="E125" s="2" t="n">
        <v>1.3</v>
      </c>
      <c r="F125" s="2" t="n">
        <v>0.997</v>
      </c>
      <c r="G125" s="2" t="n">
        <v>0.6854</v>
      </c>
      <c r="H125" s="2" t="n">
        <v>0.9767</v>
      </c>
      <c r="I125" s="2" t="n">
        <v>0.805</v>
      </c>
      <c r="J125" s="2" t="n">
        <v>0.5827</v>
      </c>
    </row>
    <row r="126" customFormat="false" ht="15" hidden="false" customHeight="false" outlineLevel="0" collapsed="false">
      <c r="A126" s="2" t="s">
        <v>160</v>
      </c>
      <c r="B126" s="2" t="n">
        <v>780</v>
      </c>
      <c r="C126" s="2" t="s">
        <v>144</v>
      </c>
      <c r="D126" s="2" t="s">
        <v>42</v>
      </c>
      <c r="E126" s="2" t="n">
        <v>1.85</v>
      </c>
      <c r="F126" s="2" t="n">
        <v>0.997</v>
      </c>
      <c r="G126" s="2" t="n">
        <v>0.6879</v>
      </c>
      <c r="H126" s="2" t="n">
        <v>0.977</v>
      </c>
      <c r="I126" s="2" t="n">
        <v>0.8052</v>
      </c>
      <c r="J126" s="2" t="n">
        <v>0.5858</v>
      </c>
    </row>
    <row r="127" customFormat="false" ht="15" hidden="false" customHeight="false" outlineLevel="0" collapsed="false">
      <c r="A127" s="2" t="s">
        <v>161</v>
      </c>
      <c r="B127" s="2" t="n">
        <v>780</v>
      </c>
      <c r="C127" s="2" t="s">
        <v>144</v>
      </c>
      <c r="D127" s="2" t="s">
        <v>42</v>
      </c>
      <c r="E127" s="2" t="n">
        <v>2.4</v>
      </c>
      <c r="F127" s="2" t="n">
        <v>0.997</v>
      </c>
      <c r="G127" s="2" t="n">
        <v>0.6897</v>
      </c>
      <c r="H127" s="2" t="n">
        <v>0.9771</v>
      </c>
      <c r="I127" s="2" t="n">
        <v>0.8056</v>
      </c>
      <c r="J127" s="2" t="n">
        <v>0.5883</v>
      </c>
    </row>
    <row r="128" customFormat="false" ht="15" hidden="false" customHeight="false" outlineLevel="0" collapsed="false">
      <c r="A128" s="2" t="s">
        <v>162</v>
      </c>
      <c r="B128" s="2" t="n">
        <v>760</v>
      </c>
      <c r="C128" s="2" t="s">
        <v>163</v>
      </c>
      <c r="D128" s="2" t="s">
        <v>28</v>
      </c>
      <c r="E128" s="2" t="n">
        <v>0.55</v>
      </c>
      <c r="F128" s="2" t="n">
        <v>0.723</v>
      </c>
      <c r="G128" s="2" t="n">
        <v>0.3886</v>
      </c>
      <c r="H128" s="2" t="n">
        <v>0.5997</v>
      </c>
      <c r="I128" s="2" t="n">
        <v>0.3953</v>
      </c>
      <c r="J128" s="2" t="n">
        <v>0.1647</v>
      </c>
    </row>
    <row r="129" customFormat="false" ht="15" hidden="false" customHeight="false" outlineLevel="0" collapsed="false">
      <c r="A129" s="2" t="s">
        <v>164</v>
      </c>
      <c r="B129" s="2" t="n">
        <v>760</v>
      </c>
      <c r="C129" s="2" t="s">
        <v>163</v>
      </c>
      <c r="D129" s="2" t="s">
        <v>28</v>
      </c>
      <c r="E129" s="2" t="n">
        <v>0.8</v>
      </c>
      <c r="F129" s="2" t="n">
        <v>0.7576</v>
      </c>
      <c r="G129" s="2" t="n">
        <v>0.411</v>
      </c>
      <c r="H129" s="2" t="n">
        <v>0.6454</v>
      </c>
      <c r="I129" s="2" t="n">
        <v>0.4336</v>
      </c>
      <c r="J129" s="2" t="n">
        <v>0.1852</v>
      </c>
    </row>
    <row r="130" customFormat="false" ht="15" hidden="false" customHeight="false" outlineLevel="0" collapsed="false">
      <c r="A130" s="2" t="s">
        <v>165</v>
      </c>
      <c r="B130" s="2" t="n">
        <v>760</v>
      </c>
      <c r="C130" s="2" t="s">
        <v>163</v>
      </c>
      <c r="D130" s="2" t="s">
        <v>28</v>
      </c>
      <c r="E130" s="2" t="n">
        <v>1</v>
      </c>
      <c r="F130" s="2" t="n">
        <v>0.7806</v>
      </c>
      <c r="G130" s="2" t="n">
        <v>0.4241</v>
      </c>
      <c r="H130" s="2" t="n">
        <v>0.6732</v>
      </c>
      <c r="I130" s="2" t="n">
        <v>0.4589</v>
      </c>
      <c r="J130" s="2" t="n">
        <v>0.1987</v>
      </c>
    </row>
    <row r="131" customFormat="false" ht="15" hidden="false" customHeight="false" outlineLevel="0" collapsed="false">
      <c r="A131" s="2" t="s">
        <v>166</v>
      </c>
      <c r="B131" s="2" t="n">
        <v>760</v>
      </c>
      <c r="C131" s="2" t="s">
        <v>163</v>
      </c>
      <c r="D131" s="2" t="s">
        <v>28</v>
      </c>
      <c r="E131" s="2" t="n">
        <v>1.3</v>
      </c>
      <c r="F131" s="2" t="n">
        <v>0.8106</v>
      </c>
      <c r="G131" s="2" t="n">
        <v>0.4393</v>
      </c>
      <c r="H131" s="2" t="n">
        <v>0.7076</v>
      </c>
      <c r="I131" s="2" t="n">
        <v>0.4902</v>
      </c>
      <c r="J131" s="2" t="n">
        <v>0.214</v>
      </c>
    </row>
    <row r="132" customFormat="false" ht="15" hidden="false" customHeight="false" outlineLevel="0" collapsed="false">
      <c r="A132" s="2" t="s">
        <v>167</v>
      </c>
      <c r="B132" s="2" t="n">
        <v>760</v>
      </c>
      <c r="C132" s="2" t="s">
        <v>163</v>
      </c>
      <c r="D132" s="2" t="s">
        <v>28</v>
      </c>
      <c r="E132" s="2" t="n">
        <v>1.85</v>
      </c>
      <c r="F132" s="2" t="n">
        <v>0.8531</v>
      </c>
      <c r="G132" s="2" t="n">
        <v>0.4622</v>
      </c>
      <c r="H132" s="2" t="n">
        <v>0.7577</v>
      </c>
      <c r="I132" s="2" t="n">
        <v>0.536</v>
      </c>
      <c r="J132" s="2" t="n">
        <v>0.2381</v>
      </c>
    </row>
    <row r="133" customFormat="false" ht="15" hidden="false" customHeight="false" outlineLevel="0" collapsed="false">
      <c r="A133" s="2" t="s">
        <v>168</v>
      </c>
      <c r="B133" s="2" t="n">
        <v>760</v>
      </c>
      <c r="C133" s="2" t="s">
        <v>163</v>
      </c>
      <c r="D133" s="2" t="s">
        <v>28</v>
      </c>
      <c r="E133" s="2" t="n">
        <v>2.4</v>
      </c>
      <c r="F133" s="2" t="n">
        <v>0.884</v>
      </c>
      <c r="G133" s="2" t="n">
        <v>0.4803</v>
      </c>
      <c r="H133" s="2" t="n">
        <v>0.794</v>
      </c>
      <c r="I133" s="2" t="n">
        <v>0.5699</v>
      </c>
      <c r="J133" s="2" t="n">
        <v>0.2585</v>
      </c>
    </row>
    <row r="134" customFormat="false" ht="15" hidden="false" customHeight="false" outlineLevel="0" collapsed="false">
      <c r="A134" s="2" t="s">
        <v>169</v>
      </c>
      <c r="B134" s="2" t="n">
        <v>760</v>
      </c>
      <c r="C134" s="2" t="s">
        <v>163</v>
      </c>
      <c r="D134" s="2" t="s">
        <v>35</v>
      </c>
      <c r="E134" s="2" t="n">
        <v>0.55</v>
      </c>
      <c r="F134" s="2" t="n">
        <v>0.7366</v>
      </c>
      <c r="G134" s="2" t="n">
        <v>0.4163</v>
      </c>
      <c r="H134" s="2" t="n">
        <v>0.5987</v>
      </c>
      <c r="I134" s="2" t="n">
        <v>0.3751</v>
      </c>
      <c r="J134" s="2" t="n">
        <v>0.1686</v>
      </c>
    </row>
    <row r="135" customFormat="false" ht="15" hidden="false" customHeight="false" outlineLevel="0" collapsed="false">
      <c r="A135" s="2" t="s">
        <v>170</v>
      </c>
      <c r="B135" s="2" t="n">
        <v>760</v>
      </c>
      <c r="C135" s="2" t="s">
        <v>163</v>
      </c>
      <c r="D135" s="2" t="s">
        <v>35</v>
      </c>
      <c r="E135" s="2" t="n">
        <v>0.8</v>
      </c>
      <c r="F135" s="2" t="n">
        <v>0.7702</v>
      </c>
      <c r="G135" s="2" t="n">
        <v>0.4409</v>
      </c>
      <c r="H135" s="2" t="n">
        <v>0.6458</v>
      </c>
      <c r="I135" s="2" t="n">
        <v>0.4141</v>
      </c>
      <c r="J135" s="2" t="n">
        <v>0.1925</v>
      </c>
    </row>
    <row r="136" customFormat="false" ht="15" hidden="false" customHeight="false" outlineLevel="0" collapsed="false">
      <c r="A136" s="2" t="s">
        <v>171</v>
      </c>
      <c r="B136" s="2" t="n">
        <v>760</v>
      </c>
      <c r="C136" s="2" t="s">
        <v>163</v>
      </c>
      <c r="D136" s="2" t="s">
        <v>35</v>
      </c>
      <c r="E136" s="2" t="n">
        <v>1</v>
      </c>
      <c r="F136" s="2" t="n">
        <v>0.793</v>
      </c>
      <c r="G136" s="2" t="n">
        <v>0.4551</v>
      </c>
      <c r="H136" s="2" t="n">
        <v>0.6749</v>
      </c>
      <c r="I136" s="2" t="n">
        <v>0.4406</v>
      </c>
      <c r="J136" s="2" t="n">
        <v>0.2082</v>
      </c>
    </row>
    <row r="137" customFormat="false" ht="15" hidden="false" customHeight="false" outlineLevel="0" collapsed="false">
      <c r="A137" s="2" t="s">
        <v>172</v>
      </c>
      <c r="B137" s="2" t="n">
        <v>760</v>
      </c>
      <c r="C137" s="2" t="s">
        <v>163</v>
      </c>
      <c r="D137" s="2" t="s">
        <v>35</v>
      </c>
      <c r="E137" s="2" t="n">
        <v>1.3</v>
      </c>
      <c r="F137" s="2" t="n">
        <v>0.8222</v>
      </c>
      <c r="G137" s="2" t="n">
        <v>0.4712</v>
      </c>
      <c r="H137" s="2" t="n">
        <v>0.7094</v>
      </c>
      <c r="I137" s="2" t="n">
        <v>0.4722</v>
      </c>
      <c r="J137" s="2" t="n">
        <v>0.2259</v>
      </c>
    </row>
    <row r="138" customFormat="false" ht="15" hidden="false" customHeight="false" outlineLevel="0" collapsed="false">
      <c r="A138" s="2" t="s">
        <v>173</v>
      </c>
      <c r="B138" s="2" t="n">
        <v>760</v>
      </c>
      <c r="C138" s="2" t="s">
        <v>163</v>
      </c>
      <c r="D138" s="2" t="s">
        <v>35</v>
      </c>
      <c r="E138" s="2" t="n">
        <v>1.85</v>
      </c>
      <c r="F138" s="2" t="n">
        <v>0.8642</v>
      </c>
      <c r="G138" s="2" t="n">
        <v>0.4955</v>
      </c>
      <c r="H138" s="2" t="n">
        <v>0.7601</v>
      </c>
      <c r="I138" s="2" t="n">
        <v>0.5208</v>
      </c>
      <c r="J138" s="2" t="n">
        <v>0.2552</v>
      </c>
    </row>
    <row r="139" customFormat="false" ht="15" hidden="false" customHeight="false" outlineLevel="0" collapsed="false">
      <c r="A139" s="2" t="s">
        <v>174</v>
      </c>
      <c r="B139" s="2" t="n">
        <v>760</v>
      </c>
      <c r="C139" s="2" t="s">
        <v>163</v>
      </c>
      <c r="D139" s="2" t="s">
        <v>35</v>
      </c>
      <c r="E139" s="2" t="n">
        <v>2.4</v>
      </c>
      <c r="F139" s="2" t="n">
        <v>0.8938</v>
      </c>
      <c r="G139" s="2" t="n">
        <v>0.5148</v>
      </c>
      <c r="H139" s="2" t="n">
        <v>0.796</v>
      </c>
      <c r="I139" s="2" t="n">
        <v>0.5553</v>
      </c>
      <c r="J139" s="2" t="n">
        <v>0.2782</v>
      </c>
    </row>
    <row r="140" customFormat="false" ht="15" hidden="false" customHeight="false" outlineLevel="0" collapsed="false">
      <c r="A140" s="2" t="s">
        <v>175</v>
      </c>
      <c r="B140" s="2" t="n">
        <v>760</v>
      </c>
      <c r="C140" s="2" t="s">
        <v>163</v>
      </c>
      <c r="D140" s="2" t="s">
        <v>42</v>
      </c>
      <c r="E140" s="2" t="n">
        <v>0.55</v>
      </c>
      <c r="F140" s="2" t="n">
        <v>0.9966</v>
      </c>
      <c r="G140" s="2" t="n">
        <v>0.6716</v>
      </c>
      <c r="H140" s="2" t="n">
        <v>0.9756</v>
      </c>
      <c r="I140" s="2" t="n">
        <v>0.8013</v>
      </c>
      <c r="J140" s="2" t="n">
        <v>0.5643</v>
      </c>
    </row>
    <row r="141" customFormat="false" ht="15" hidden="false" customHeight="false" outlineLevel="0" collapsed="false">
      <c r="A141" s="2" t="s">
        <v>176</v>
      </c>
      <c r="B141" s="2" t="n">
        <v>760</v>
      </c>
      <c r="C141" s="2" t="s">
        <v>163</v>
      </c>
      <c r="D141" s="2" t="s">
        <v>42</v>
      </c>
      <c r="E141" s="2" t="n">
        <v>0.8</v>
      </c>
      <c r="F141" s="2" t="n">
        <v>0.9966</v>
      </c>
      <c r="G141" s="2" t="n">
        <v>0.6724</v>
      </c>
      <c r="H141" s="2" t="n">
        <v>0.9756</v>
      </c>
      <c r="I141" s="2" t="n">
        <v>0.8011</v>
      </c>
      <c r="J141" s="2" t="n">
        <v>0.5649</v>
      </c>
    </row>
    <row r="142" customFormat="false" ht="15" hidden="false" customHeight="false" outlineLevel="0" collapsed="false">
      <c r="A142" s="2" t="s">
        <v>177</v>
      </c>
      <c r="B142" s="2" t="n">
        <v>760</v>
      </c>
      <c r="C142" s="2" t="s">
        <v>163</v>
      </c>
      <c r="D142" s="2" t="s">
        <v>42</v>
      </c>
      <c r="E142" s="2" t="n">
        <v>1</v>
      </c>
      <c r="F142" s="2" t="n">
        <v>0.9966</v>
      </c>
      <c r="G142" s="2" t="n">
        <v>0.6732</v>
      </c>
      <c r="H142" s="2" t="n">
        <v>0.9756</v>
      </c>
      <c r="I142" s="2" t="n">
        <v>0.8011</v>
      </c>
      <c r="J142" s="2" t="n">
        <v>0.5658</v>
      </c>
    </row>
    <row r="143" customFormat="false" ht="15" hidden="false" customHeight="false" outlineLevel="0" collapsed="false">
      <c r="A143" s="2" t="s">
        <v>178</v>
      </c>
      <c r="B143" s="2" t="n">
        <v>760</v>
      </c>
      <c r="C143" s="2" t="s">
        <v>163</v>
      </c>
      <c r="D143" s="2" t="s">
        <v>42</v>
      </c>
      <c r="E143" s="2" t="n">
        <v>1.3</v>
      </c>
      <c r="F143" s="2" t="n">
        <v>0.9966</v>
      </c>
      <c r="G143" s="2" t="n">
        <v>0.6744</v>
      </c>
      <c r="H143" s="2" t="n">
        <v>0.9756</v>
      </c>
      <c r="I143" s="2" t="n">
        <v>0.8012</v>
      </c>
      <c r="J143" s="2" t="n">
        <v>0.5673</v>
      </c>
    </row>
    <row r="144" customFormat="false" ht="15" hidden="false" customHeight="false" outlineLevel="0" collapsed="false">
      <c r="A144" s="2" t="s">
        <v>179</v>
      </c>
      <c r="B144" s="2" t="n">
        <v>760</v>
      </c>
      <c r="C144" s="2" t="s">
        <v>163</v>
      </c>
      <c r="D144" s="2" t="s">
        <v>42</v>
      </c>
      <c r="E144" s="2" t="n">
        <v>1.85</v>
      </c>
      <c r="F144" s="2" t="n">
        <v>0.9966</v>
      </c>
      <c r="G144" s="2" t="n">
        <v>0.677</v>
      </c>
      <c r="H144" s="2" t="n">
        <v>0.9759</v>
      </c>
      <c r="I144" s="2" t="n">
        <v>0.8012</v>
      </c>
      <c r="J144" s="2" t="n">
        <v>0.5703</v>
      </c>
    </row>
    <row r="145" customFormat="false" ht="15" hidden="false" customHeight="false" outlineLevel="0" collapsed="false">
      <c r="A145" s="2" t="s">
        <v>180</v>
      </c>
      <c r="B145" s="2" t="n">
        <v>760</v>
      </c>
      <c r="C145" s="2" t="s">
        <v>163</v>
      </c>
      <c r="D145" s="2" t="s">
        <v>42</v>
      </c>
      <c r="E145" s="2" t="n">
        <v>2.4</v>
      </c>
      <c r="F145" s="2" t="n">
        <v>0.9966</v>
      </c>
      <c r="G145" s="2" t="n">
        <v>0.6786</v>
      </c>
      <c r="H145" s="2" t="n">
        <v>0.9762</v>
      </c>
      <c r="I145" s="2" t="n">
        <v>0.8018</v>
      </c>
      <c r="J145" s="2" t="n">
        <v>0.5727</v>
      </c>
    </row>
    <row r="146" customFormat="false" ht="15" hidden="false" customHeight="false" outlineLevel="0" collapsed="false">
      <c r="A146" s="2" t="s">
        <v>181</v>
      </c>
      <c r="B146" s="2" t="n">
        <v>740</v>
      </c>
      <c r="C146" s="2" t="s">
        <v>182</v>
      </c>
      <c r="D146" s="2" t="s">
        <v>28</v>
      </c>
      <c r="E146" s="2" t="n">
        <v>0.55</v>
      </c>
      <c r="F146" s="2" t="n">
        <v>0.7156</v>
      </c>
      <c r="G146" s="2" t="n">
        <v>0.3759</v>
      </c>
      <c r="H146" s="2" t="n">
        <v>0.5925</v>
      </c>
      <c r="I146" s="2" t="n">
        <v>0.3947</v>
      </c>
      <c r="J146" s="2" t="n">
        <v>0.1586</v>
      </c>
    </row>
    <row r="147" customFormat="false" ht="15" hidden="false" customHeight="false" outlineLevel="0" collapsed="false">
      <c r="A147" s="2" t="s">
        <v>183</v>
      </c>
      <c r="B147" s="2" t="n">
        <v>740</v>
      </c>
      <c r="C147" s="2" t="s">
        <v>182</v>
      </c>
      <c r="D147" s="2" t="s">
        <v>28</v>
      </c>
      <c r="E147" s="2" t="n">
        <v>0.8</v>
      </c>
      <c r="F147" s="2" t="n">
        <v>0.7505</v>
      </c>
      <c r="G147" s="2" t="n">
        <v>0.3987</v>
      </c>
      <c r="H147" s="2" t="n">
        <v>0.6383</v>
      </c>
      <c r="I147" s="2" t="n">
        <v>0.4319</v>
      </c>
      <c r="J147" s="2" t="n">
        <v>0.1778</v>
      </c>
    </row>
    <row r="148" customFormat="false" ht="15" hidden="false" customHeight="false" outlineLevel="0" collapsed="false">
      <c r="A148" s="2" t="s">
        <v>184</v>
      </c>
      <c r="B148" s="2" t="n">
        <v>740</v>
      </c>
      <c r="C148" s="2" t="s">
        <v>182</v>
      </c>
      <c r="D148" s="2" t="s">
        <v>28</v>
      </c>
      <c r="E148" s="2" t="n">
        <v>1</v>
      </c>
      <c r="F148" s="2" t="n">
        <v>0.7739</v>
      </c>
      <c r="G148" s="2" t="n">
        <v>0.4115</v>
      </c>
      <c r="H148" s="2" t="n">
        <v>0.6656</v>
      </c>
      <c r="I148" s="2" t="n">
        <v>0.4567</v>
      </c>
      <c r="J148" s="2" t="n">
        <v>0.1902</v>
      </c>
    </row>
    <row r="149" customFormat="false" ht="15" hidden="false" customHeight="false" outlineLevel="0" collapsed="false">
      <c r="A149" s="2" t="s">
        <v>185</v>
      </c>
      <c r="B149" s="2" t="n">
        <v>740</v>
      </c>
      <c r="C149" s="2" t="s">
        <v>182</v>
      </c>
      <c r="D149" s="2" t="s">
        <v>28</v>
      </c>
      <c r="E149" s="2" t="n">
        <v>1.3</v>
      </c>
      <c r="F149" s="2" t="n">
        <v>0.8041</v>
      </c>
      <c r="G149" s="2" t="n">
        <v>0.4272</v>
      </c>
      <c r="H149" s="2" t="n">
        <v>0.7008</v>
      </c>
      <c r="I149" s="2" t="n">
        <v>0.4879</v>
      </c>
      <c r="J149" s="2" t="n">
        <v>0.2054</v>
      </c>
    </row>
    <row r="150" customFormat="false" ht="15" hidden="false" customHeight="false" outlineLevel="0" collapsed="false">
      <c r="A150" s="2" t="s">
        <v>186</v>
      </c>
      <c r="B150" s="2" t="n">
        <v>740</v>
      </c>
      <c r="C150" s="2" t="s">
        <v>182</v>
      </c>
      <c r="D150" s="2" t="s">
        <v>28</v>
      </c>
      <c r="E150" s="2" t="n">
        <v>1.85</v>
      </c>
      <c r="F150" s="2" t="n">
        <v>0.8477</v>
      </c>
      <c r="G150" s="2" t="n">
        <v>0.4507</v>
      </c>
      <c r="H150" s="2" t="n">
        <v>0.7518</v>
      </c>
      <c r="I150" s="2" t="n">
        <v>0.5343</v>
      </c>
      <c r="J150" s="2" t="n">
        <v>0.2292</v>
      </c>
    </row>
    <row r="151" customFormat="false" ht="15" hidden="false" customHeight="false" outlineLevel="0" collapsed="false">
      <c r="A151" s="2" t="s">
        <v>187</v>
      </c>
      <c r="B151" s="2" t="n">
        <v>740</v>
      </c>
      <c r="C151" s="2" t="s">
        <v>182</v>
      </c>
      <c r="D151" s="2" t="s">
        <v>28</v>
      </c>
      <c r="E151" s="2" t="n">
        <v>2.4</v>
      </c>
      <c r="F151" s="2" t="n">
        <v>0.8789</v>
      </c>
      <c r="G151" s="2" t="n">
        <v>0.4691</v>
      </c>
      <c r="H151" s="2" t="n">
        <v>0.7882</v>
      </c>
      <c r="I151" s="2" t="n">
        <v>0.5674</v>
      </c>
      <c r="J151" s="2" t="n">
        <v>0.2483</v>
      </c>
    </row>
    <row r="152" customFormat="false" ht="15" hidden="false" customHeight="false" outlineLevel="0" collapsed="false">
      <c r="A152" s="2" t="s">
        <v>188</v>
      </c>
      <c r="B152" s="2" t="n">
        <v>740</v>
      </c>
      <c r="C152" s="2" t="s">
        <v>182</v>
      </c>
      <c r="D152" s="2" t="s">
        <v>35</v>
      </c>
      <c r="E152" s="2" t="n">
        <v>0.55</v>
      </c>
      <c r="F152" s="2" t="n">
        <v>0.7271</v>
      </c>
      <c r="G152" s="2" t="n">
        <v>0.4035</v>
      </c>
      <c r="H152" s="2" t="n">
        <v>0.589</v>
      </c>
      <c r="I152" s="2" t="n">
        <v>0.3708</v>
      </c>
      <c r="J152" s="2" t="n">
        <v>0.16</v>
      </c>
    </row>
    <row r="153" customFormat="false" ht="15" hidden="false" customHeight="false" outlineLevel="0" collapsed="false">
      <c r="A153" s="2" t="s">
        <v>189</v>
      </c>
      <c r="B153" s="2" t="n">
        <v>740</v>
      </c>
      <c r="C153" s="2" t="s">
        <v>182</v>
      </c>
      <c r="D153" s="2" t="s">
        <v>35</v>
      </c>
      <c r="E153" s="2" t="n">
        <v>0.8</v>
      </c>
      <c r="F153" s="2" t="n">
        <v>0.761</v>
      </c>
      <c r="G153" s="2" t="n">
        <v>0.4275</v>
      </c>
      <c r="H153" s="2" t="n">
        <v>0.6353</v>
      </c>
      <c r="I153" s="2" t="n">
        <v>0.4084</v>
      </c>
      <c r="J153" s="2" t="n">
        <v>0.1809</v>
      </c>
    </row>
    <row r="154" customFormat="false" ht="15" hidden="false" customHeight="false" outlineLevel="0" collapsed="false">
      <c r="A154" s="2" t="s">
        <v>190</v>
      </c>
      <c r="B154" s="2" t="n">
        <v>740</v>
      </c>
      <c r="C154" s="2" t="s">
        <v>182</v>
      </c>
      <c r="D154" s="2" t="s">
        <v>35</v>
      </c>
      <c r="E154" s="2" t="n">
        <v>1</v>
      </c>
      <c r="F154" s="2" t="n">
        <v>0.7837</v>
      </c>
      <c r="G154" s="2" t="n">
        <v>0.4408</v>
      </c>
      <c r="H154" s="2" t="n">
        <v>0.6632</v>
      </c>
      <c r="I154" s="2" t="n">
        <v>0.4337</v>
      </c>
      <c r="J154" s="2" t="n">
        <v>0.1947</v>
      </c>
    </row>
    <row r="155" customFormat="false" ht="15" hidden="false" customHeight="false" outlineLevel="0" collapsed="false">
      <c r="A155" s="2" t="s">
        <v>191</v>
      </c>
      <c r="B155" s="2" t="n">
        <v>740</v>
      </c>
      <c r="C155" s="2" t="s">
        <v>182</v>
      </c>
      <c r="D155" s="2" t="s">
        <v>35</v>
      </c>
      <c r="E155" s="2" t="n">
        <v>1.3</v>
      </c>
      <c r="F155" s="2" t="n">
        <v>0.813</v>
      </c>
      <c r="G155" s="2" t="n">
        <v>0.4574</v>
      </c>
      <c r="H155" s="2" t="n">
        <v>0.6985</v>
      </c>
      <c r="I155" s="2" t="n">
        <v>0.4649</v>
      </c>
      <c r="J155" s="2" t="n">
        <v>0.2117</v>
      </c>
    </row>
    <row r="156" customFormat="false" ht="15" hidden="false" customHeight="false" outlineLevel="0" collapsed="false">
      <c r="A156" s="2" t="s">
        <v>192</v>
      </c>
      <c r="B156" s="2" t="n">
        <v>740</v>
      </c>
      <c r="C156" s="2" t="s">
        <v>182</v>
      </c>
      <c r="D156" s="2" t="s">
        <v>35</v>
      </c>
      <c r="E156" s="2" t="n">
        <v>1.85</v>
      </c>
      <c r="F156" s="2" t="n">
        <v>0.8556</v>
      </c>
      <c r="G156" s="2" t="n">
        <v>0.4815</v>
      </c>
      <c r="H156" s="2" t="n">
        <v>0.75</v>
      </c>
      <c r="I156" s="2" t="n">
        <v>0.5121</v>
      </c>
      <c r="J156" s="2" t="n">
        <v>0.2377</v>
      </c>
    </row>
    <row r="157" customFormat="false" ht="15" hidden="false" customHeight="false" outlineLevel="0" collapsed="false">
      <c r="A157" s="2" t="s">
        <v>193</v>
      </c>
      <c r="B157" s="2" t="n">
        <v>740</v>
      </c>
      <c r="C157" s="2" t="s">
        <v>182</v>
      </c>
      <c r="D157" s="2" t="s">
        <v>35</v>
      </c>
      <c r="E157" s="2" t="n">
        <v>2.4</v>
      </c>
      <c r="F157" s="2" t="n">
        <v>0.8858</v>
      </c>
      <c r="G157" s="2" t="n">
        <v>0.4995</v>
      </c>
      <c r="H157" s="2" t="n">
        <v>0.7861</v>
      </c>
      <c r="I157" s="2" t="n">
        <v>0.5457</v>
      </c>
      <c r="J157" s="2" t="n">
        <v>0.2585</v>
      </c>
    </row>
    <row r="158" customFormat="false" ht="15" hidden="false" customHeight="false" outlineLevel="0" collapsed="false">
      <c r="A158" s="2" t="s">
        <v>194</v>
      </c>
      <c r="B158" s="2" t="n">
        <v>740</v>
      </c>
      <c r="C158" s="2" t="s">
        <v>182</v>
      </c>
      <c r="D158" s="2" t="s">
        <v>42</v>
      </c>
      <c r="E158" s="2" t="n">
        <v>0.55</v>
      </c>
      <c r="F158" s="2" t="n">
        <v>0.9961</v>
      </c>
      <c r="G158" s="2" t="n">
        <v>0.6616</v>
      </c>
      <c r="H158" s="2" t="n">
        <v>0.9741</v>
      </c>
      <c r="I158" s="2" t="n">
        <v>0.7983</v>
      </c>
      <c r="J158" s="2" t="n">
        <v>0.5503</v>
      </c>
    </row>
    <row r="159" customFormat="false" ht="15" hidden="false" customHeight="false" outlineLevel="0" collapsed="false">
      <c r="A159" s="2" t="s">
        <v>195</v>
      </c>
      <c r="B159" s="2" t="n">
        <v>740</v>
      </c>
      <c r="C159" s="2" t="s">
        <v>182</v>
      </c>
      <c r="D159" s="2" t="s">
        <v>42</v>
      </c>
      <c r="E159" s="2" t="n">
        <v>0.8</v>
      </c>
      <c r="F159" s="2" t="n">
        <v>0.9961</v>
      </c>
      <c r="G159" s="2" t="n">
        <v>0.6623</v>
      </c>
      <c r="H159" s="2" t="n">
        <v>0.9741</v>
      </c>
      <c r="I159" s="2" t="n">
        <v>0.7981</v>
      </c>
      <c r="J159" s="2" t="n">
        <v>0.5509</v>
      </c>
    </row>
    <row r="160" customFormat="false" ht="15" hidden="false" customHeight="false" outlineLevel="0" collapsed="false">
      <c r="A160" s="2" t="s">
        <v>196</v>
      </c>
      <c r="B160" s="2" t="n">
        <v>740</v>
      </c>
      <c r="C160" s="2" t="s">
        <v>182</v>
      </c>
      <c r="D160" s="2" t="s">
        <v>42</v>
      </c>
      <c r="E160" s="2" t="n">
        <v>1</v>
      </c>
      <c r="F160" s="2" t="n">
        <v>0.9961</v>
      </c>
      <c r="G160" s="2" t="n">
        <v>0.663</v>
      </c>
      <c r="H160" s="2" t="n">
        <v>0.9741</v>
      </c>
      <c r="I160" s="2" t="n">
        <v>0.7981</v>
      </c>
      <c r="J160" s="2" t="n">
        <v>0.5517</v>
      </c>
    </row>
    <row r="161" customFormat="false" ht="15" hidden="false" customHeight="false" outlineLevel="0" collapsed="false">
      <c r="A161" s="2" t="s">
        <v>197</v>
      </c>
      <c r="B161" s="2" t="n">
        <v>740</v>
      </c>
      <c r="C161" s="2" t="s">
        <v>182</v>
      </c>
      <c r="D161" s="2" t="s">
        <v>42</v>
      </c>
      <c r="E161" s="2" t="n">
        <v>1.3</v>
      </c>
      <c r="F161" s="2" t="n">
        <v>0.9961</v>
      </c>
      <c r="G161" s="2" t="n">
        <v>0.6641</v>
      </c>
      <c r="H161" s="2" t="n">
        <v>0.9742</v>
      </c>
      <c r="I161" s="2" t="n">
        <v>0.7981</v>
      </c>
      <c r="J161" s="2" t="n">
        <v>0.5529</v>
      </c>
    </row>
    <row r="162" customFormat="false" ht="15" hidden="false" customHeight="false" outlineLevel="0" collapsed="false">
      <c r="A162" s="2" t="s">
        <v>198</v>
      </c>
      <c r="B162" s="2" t="n">
        <v>740</v>
      </c>
      <c r="C162" s="2" t="s">
        <v>182</v>
      </c>
      <c r="D162" s="2" t="s">
        <v>42</v>
      </c>
      <c r="E162" s="2" t="n">
        <v>1.85</v>
      </c>
      <c r="F162" s="2" t="n">
        <v>0.9961</v>
      </c>
      <c r="G162" s="2" t="n">
        <v>0.6661</v>
      </c>
      <c r="H162" s="2" t="n">
        <v>0.9744</v>
      </c>
      <c r="I162" s="2" t="n">
        <v>0.7983</v>
      </c>
      <c r="J162" s="2" t="n">
        <v>0.5557</v>
      </c>
    </row>
    <row r="163" customFormat="false" ht="15" hidden="false" customHeight="false" outlineLevel="0" collapsed="false">
      <c r="A163" s="2" t="s">
        <v>199</v>
      </c>
      <c r="B163" s="2" t="n">
        <v>740</v>
      </c>
      <c r="C163" s="2" t="s">
        <v>182</v>
      </c>
      <c r="D163" s="2" t="s">
        <v>42</v>
      </c>
      <c r="E163" s="2" t="n">
        <v>2.4</v>
      </c>
      <c r="F163" s="2" t="n">
        <v>0.9961</v>
      </c>
      <c r="G163" s="2" t="n">
        <v>0.668</v>
      </c>
      <c r="H163" s="2" t="n">
        <v>0.9747</v>
      </c>
      <c r="I163" s="2" t="n">
        <v>0.7988</v>
      </c>
      <c r="J163" s="2" t="n">
        <v>0.5583</v>
      </c>
    </row>
    <row r="164" customFormat="false" ht="15" hidden="false" customHeight="false" outlineLevel="0" collapsed="false">
      <c r="A164" s="2" t="s">
        <v>200</v>
      </c>
      <c r="B164" s="2" t="n">
        <v>720</v>
      </c>
      <c r="C164" s="2" t="s">
        <v>201</v>
      </c>
      <c r="D164" s="2" t="s">
        <v>28</v>
      </c>
      <c r="E164" s="2" t="n">
        <v>0.55</v>
      </c>
      <c r="F164" s="2" t="n">
        <v>0.7069</v>
      </c>
      <c r="G164" s="2" t="n">
        <v>0.3658</v>
      </c>
      <c r="H164" s="2" t="n">
        <v>0.583</v>
      </c>
      <c r="I164" s="2" t="n">
        <v>0.3904</v>
      </c>
      <c r="J164" s="2" t="n">
        <v>0.1517</v>
      </c>
    </row>
    <row r="165" customFormat="false" ht="15" hidden="false" customHeight="false" outlineLevel="0" collapsed="false">
      <c r="A165" s="2" t="s">
        <v>202</v>
      </c>
      <c r="B165" s="2" t="n">
        <v>720</v>
      </c>
      <c r="C165" s="2" t="s">
        <v>201</v>
      </c>
      <c r="D165" s="2" t="s">
        <v>28</v>
      </c>
      <c r="E165" s="2" t="n">
        <v>0.8</v>
      </c>
      <c r="F165" s="2" t="n">
        <v>0.7418</v>
      </c>
      <c r="G165" s="2" t="n">
        <v>0.3885</v>
      </c>
      <c r="H165" s="2" t="n">
        <v>0.6288</v>
      </c>
      <c r="I165" s="2" t="n">
        <v>0.4281</v>
      </c>
      <c r="J165" s="2" t="n">
        <v>0.1708</v>
      </c>
    </row>
    <row r="166" customFormat="false" ht="15" hidden="false" customHeight="false" outlineLevel="0" collapsed="false">
      <c r="A166" s="2" t="s">
        <v>203</v>
      </c>
      <c r="B166" s="2" t="n">
        <v>720</v>
      </c>
      <c r="C166" s="2" t="s">
        <v>201</v>
      </c>
      <c r="D166" s="2" t="s">
        <v>28</v>
      </c>
      <c r="E166" s="2" t="n">
        <v>1</v>
      </c>
      <c r="F166" s="2" t="n">
        <v>0.7658</v>
      </c>
      <c r="G166" s="2" t="n">
        <v>0.4014</v>
      </c>
      <c r="H166" s="2" t="n">
        <v>0.6571</v>
      </c>
      <c r="I166" s="2" t="n">
        <v>0.4529</v>
      </c>
      <c r="J166" s="2" t="n">
        <v>0.1836</v>
      </c>
    </row>
    <row r="167" customFormat="false" ht="15" hidden="false" customHeight="false" outlineLevel="0" collapsed="false">
      <c r="A167" s="2" t="s">
        <v>204</v>
      </c>
      <c r="B167" s="2" t="n">
        <v>720</v>
      </c>
      <c r="C167" s="2" t="s">
        <v>201</v>
      </c>
      <c r="D167" s="2" t="s">
        <v>28</v>
      </c>
      <c r="E167" s="2" t="n">
        <v>1.3</v>
      </c>
      <c r="F167" s="2" t="n">
        <v>0.7976</v>
      </c>
      <c r="G167" s="2" t="n">
        <v>0.4176</v>
      </c>
      <c r="H167" s="2" t="n">
        <v>0.6936</v>
      </c>
      <c r="I167" s="2" t="n">
        <v>0.4848</v>
      </c>
      <c r="J167" s="2" t="n">
        <v>0.1988</v>
      </c>
    </row>
    <row r="168" customFormat="false" ht="15" hidden="false" customHeight="false" outlineLevel="0" collapsed="false">
      <c r="A168" s="2" t="s">
        <v>205</v>
      </c>
      <c r="B168" s="2" t="n">
        <v>720</v>
      </c>
      <c r="C168" s="2" t="s">
        <v>201</v>
      </c>
      <c r="D168" s="2" t="s">
        <v>28</v>
      </c>
      <c r="E168" s="2" t="n">
        <v>1.85</v>
      </c>
      <c r="F168" s="2" t="n">
        <v>0.8432</v>
      </c>
      <c r="G168" s="2" t="n">
        <v>0.442</v>
      </c>
      <c r="H168" s="2" t="n">
        <v>0.7466</v>
      </c>
      <c r="I168" s="2" t="n">
        <v>0.5314</v>
      </c>
      <c r="J168" s="2" t="n">
        <v>0.2224</v>
      </c>
    </row>
    <row r="169" customFormat="false" ht="15" hidden="false" customHeight="false" outlineLevel="0" collapsed="false">
      <c r="A169" s="2" t="s">
        <v>206</v>
      </c>
      <c r="B169" s="2" t="n">
        <v>720</v>
      </c>
      <c r="C169" s="2" t="s">
        <v>201</v>
      </c>
      <c r="D169" s="2" t="s">
        <v>28</v>
      </c>
      <c r="E169" s="2" t="n">
        <v>2.4</v>
      </c>
      <c r="F169" s="2" t="n">
        <v>0.8749</v>
      </c>
      <c r="G169" s="2" t="n">
        <v>0.46</v>
      </c>
      <c r="H169" s="2" t="n">
        <v>0.7827</v>
      </c>
      <c r="I169" s="2" t="n">
        <v>0.5649</v>
      </c>
      <c r="J169" s="2" t="n">
        <v>0.2407</v>
      </c>
    </row>
    <row r="170" customFormat="false" ht="15" hidden="false" customHeight="false" outlineLevel="0" collapsed="false">
      <c r="A170" s="2" t="s">
        <v>207</v>
      </c>
      <c r="B170" s="2" t="n">
        <v>720</v>
      </c>
      <c r="C170" s="2" t="s">
        <v>201</v>
      </c>
      <c r="D170" s="2" t="s">
        <v>35</v>
      </c>
      <c r="E170" s="2" t="n">
        <v>0.55</v>
      </c>
      <c r="F170" s="2" t="n">
        <v>0.7178</v>
      </c>
      <c r="G170" s="2" t="n">
        <v>0.3924</v>
      </c>
      <c r="H170" s="2" t="n">
        <v>0.5779</v>
      </c>
      <c r="I170" s="2" t="n">
        <v>0.3648</v>
      </c>
      <c r="J170" s="2" t="n">
        <v>0.1517</v>
      </c>
    </row>
    <row r="171" customFormat="false" ht="15" hidden="false" customHeight="false" outlineLevel="0" collapsed="false">
      <c r="A171" s="2" t="s">
        <v>208</v>
      </c>
      <c r="B171" s="2" t="n">
        <v>720</v>
      </c>
      <c r="C171" s="2" t="s">
        <v>201</v>
      </c>
      <c r="D171" s="2" t="s">
        <v>35</v>
      </c>
      <c r="E171" s="2" t="n">
        <v>0.8</v>
      </c>
      <c r="F171" s="2" t="n">
        <v>0.7514</v>
      </c>
      <c r="G171" s="2" t="n">
        <v>0.4163</v>
      </c>
      <c r="H171" s="2" t="n">
        <v>0.6244</v>
      </c>
      <c r="I171" s="2" t="n">
        <v>0.4022</v>
      </c>
      <c r="J171" s="2" t="n">
        <v>0.1726</v>
      </c>
    </row>
    <row r="172" customFormat="false" ht="15" hidden="false" customHeight="false" outlineLevel="0" collapsed="false">
      <c r="A172" s="2" t="s">
        <v>209</v>
      </c>
      <c r="B172" s="2" t="n">
        <v>720</v>
      </c>
      <c r="C172" s="2" t="s">
        <v>201</v>
      </c>
      <c r="D172" s="2" t="s">
        <v>35</v>
      </c>
      <c r="E172" s="2" t="n">
        <v>1</v>
      </c>
      <c r="F172" s="2" t="n">
        <v>0.7743</v>
      </c>
      <c r="G172" s="2" t="n">
        <v>0.4294</v>
      </c>
      <c r="H172" s="2" t="n">
        <v>0.6528</v>
      </c>
      <c r="I172" s="2" t="n">
        <v>0.4269</v>
      </c>
      <c r="J172" s="2" t="n">
        <v>0.1862</v>
      </c>
    </row>
    <row r="173" customFormat="false" ht="15" hidden="false" customHeight="false" outlineLevel="0" collapsed="false">
      <c r="A173" s="2" t="s">
        <v>210</v>
      </c>
      <c r="B173" s="2" t="n">
        <v>720</v>
      </c>
      <c r="C173" s="2" t="s">
        <v>201</v>
      </c>
      <c r="D173" s="2" t="s">
        <v>35</v>
      </c>
      <c r="E173" s="2" t="n">
        <v>1.3</v>
      </c>
      <c r="F173" s="2" t="n">
        <v>0.8052</v>
      </c>
      <c r="G173" s="2" t="n">
        <v>0.4459</v>
      </c>
      <c r="H173" s="2" t="n">
        <v>0.6892</v>
      </c>
      <c r="I173" s="2" t="n">
        <v>0.4586</v>
      </c>
      <c r="J173" s="2" t="n">
        <v>0.2021</v>
      </c>
    </row>
    <row r="174" customFormat="false" ht="15" hidden="false" customHeight="false" outlineLevel="0" collapsed="false">
      <c r="A174" s="2" t="s">
        <v>211</v>
      </c>
      <c r="B174" s="2" t="n">
        <v>720</v>
      </c>
      <c r="C174" s="2" t="s">
        <v>201</v>
      </c>
      <c r="D174" s="2" t="s">
        <v>35</v>
      </c>
      <c r="E174" s="2" t="n">
        <v>1.85</v>
      </c>
      <c r="F174" s="2" t="n">
        <v>0.849</v>
      </c>
      <c r="G174" s="2" t="n">
        <v>0.4704</v>
      </c>
      <c r="H174" s="2" t="n">
        <v>0.7415</v>
      </c>
      <c r="I174" s="2" t="n">
        <v>0.5049</v>
      </c>
      <c r="J174" s="2" t="n">
        <v>0.2273</v>
      </c>
    </row>
    <row r="175" customFormat="false" ht="15" hidden="false" customHeight="false" outlineLevel="0" collapsed="false">
      <c r="A175" s="2" t="s">
        <v>212</v>
      </c>
      <c r="B175" s="2" t="n">
        <v>720</v>
      </c>
      <c r="C175" s="2" t="s">
        <v>201</v>
      </c>
      <c r="D175" s="2" t="s">
        <v>35</v>
      </c>
      <c r="E175" s="2" t="n">
        <v>2.4</v>
      </c>
      <c r="F175" s="2" t="n">
        <v>0.8794</v>
      </c>
      <c r="G175" s="2" t="n">
        <v>0.488</v>
      </c>
      <c r="H175" s="2" t="n">
        <v>0.7774</v>
      </c>
      <c r="I175" s="2" t="n">
        <v>0.5378</v>
      </c>
      <c r="J175" s="2" t="n">
        <v>0.2463</v>
      </c>
    </row>
    <row r="176" customFormat="false" ht="15" hidden="false" customHeight="false" outlineLevel="0" collapsed="false">
      <c r="A176" s="2" t="s">
        <v>213</v>
      </c>
      <c r="B176" s="2" t="n">
        <v>720</v>
      </c>
      <c r="C176" s="2" t="s">
        <v>201</v>
      </c>
      <c r="D176" s="2" t="s">
        <v>42</v>
      </c>
      <c r="E176" s="2" t="n">
        <v>0.55</v>
      </c>
      <c r="F176" s="2" t="n">
        <v>0.9955</v>
      </c>
      <c r="G176" s="2" t="n">
        <v>0.6512</v>
      </c>
      <c r="H176" s="2" t="n">
        <v>0.9728</v>
      </c>
      <c r="I176" s="2" t="n">
        <v>0.7947</v>
      </c>
      <c r="J176" s="2" t="n">
        <v>0.535</v>
      </c>
    </row>
    <row r="177" customFormat="false" ht="15" hidden="false" customHeight="false" outlineLevel="0" collapsed="false">
      <c r="A177" s="2" t="s">
        <v>214</v>
      </c>
      <c r="B177" s="2" t="n">
        <v>720</v>
      </c>
      <c r="C177" s="2" t="s">
        <v>201</v>
      </c>
      <c r="D177" s="2" t="s">
        <v>42</v>
      </c>
      <c r="E177" s="2" t="n">
        <v>0.8</v>
      </c>
      <c r="F177" s="2" t="n">
        <v>0.9955</v>
      </c>
      <c r="G177" s="2" t="n">
        <v>0.6516</v>
      </c>
      <c r="H177" s="2" t="n">
        <v>0.9728</v>
      </c>
      <c r="I177" s="2" t="n">
        <v>0.7947</v>
      </c>
      <c r="J177" s="2" t="n">
        <v>0.5353</v>
      </c>
    </row>
    <row r="178" customFormat="false" ht="15" hidden="false" customHeight="false" outlineLevel="0" collapsed="false">
      <c r="A178" s="2" t="s">
        <v>215</v>
      </c>
      <c r="B178" s="2" t="n">
        <v>720</v>
      </c>
      <c r="C178" s="2" t="s">
        <v>201</v>
      </c>
      <c r="D178" s="2" t="s">
        <v>42</v>
      </c>
      <c r="E178" s="2" t="n">
        <v>1</v>
      </c>
      <c r="F178" s="2" t="n">
        <v>0.9955</v>
      </c>
      <c r="G178" s="2" t="n">
        <v>0.6519</v>
      </c>
      <c r="H178" s="2" t="n">
        <v>0.9728</v>
      </c>
      <c r="I178" s="2" t="n">
        <v>0.7947</v>
      </c>
      <c r="J178" s="2" t="n">
        <v>0.5357</v>
      </c>
    </row>
    <row r="179" customFormat="false" ht="15" hidden="false" customHeight="false" outlineLevel="0" collapsed="false">
      <c r="A179" s="2" t="s">
        <v>216</v>
      </c>
      <c r="B179" s="2" t="n">
        <v>720</v>
      </c>
      <c r="C179" s="2" t="s">
        <v>201</v>
      </c>
      <c r="D179" s="2" t="s">
        <v>42</v>
      </c>
      <c r="E179" s="2" t="n">
        <v>1.3</v>
      </c>
      <c r="F179" s="2" t="n">
        <v>0.9955</v>
      </c>
      <c r="G179" s="2" t="n">
        <v>0.653</v>
      </c>
      <c r="H179" s="2" t="n">
        <v>0.9728</v>
      </c>
      <c r="I179" s="2" t="n">
        <v>0.7946</v>
      </c>
      <c r="J179" s="2" t="n">
        <v>0.5368</v>
      </c>
    </row>
    <row r="180" customFormat="false" ht="15" hidden="false" customHeight="false" outlineLevel="0" collapsed="false">
      <c r="A180" s="2" t="s">
        <v>217</v>
      </c>
      <c r="B180" s="2" t="n">
        <v>720</v>
      </c>
      <c r="C180" s="2" t="s">
        <v>201</v>
      </c>
      <c r="D180" s="2" t="s">
        <v>42</v>
      </c>
      <c r="E180" s="2" t="n">
        <v>1.85</v>
      </c>
      <c r="F180" s="2" t="n">
        <v>0.9955</v>
      </c>
      <c r="G180" s="2" t="n">
        <v>0.6549</v>
      </c>
      <c r="H180" s="2" t="n">
        <v>0.9731</v>
      </c>
      <c r="I180" s="2" t="n">
        <v>0.7946</v>
      </c>
      <c r="J180" s="2" t="n">
        <v>0.5397</v>
      </c>
    </row>
    <row r="181" customFormat="false" ht="15" hidden="false" customHeight="false" outlineLevel="0" collapsed="false">
      <c r="A181" s="2" t="s">
        <v>218</v>
      </c>
      <c r="B181" s="2" t="n">
        <v>720</v>
      </c>
      <c r="C181" s="2" t="s">
        <v>201</v>
      </c>
      <c r="D181" s="2" t="s">
        <v>42</v>
      </c>
      <c r="E181" s="2" t="n">
        <v>2.4</v>
      </c>
      <c r="F181" s="2" t="n">
        <v>0.9955</v>
      </c>
      <c r="G181" s="2" t="n">
        <v>0.6569</v>
      </c>
      <c r="H181" s="2" t="n">
        <v>0.9734</v>
      </c>
      <c r="I181" s="2" t="n">
        <v>0.7949</v>
      </c>
      <c r="J181" s="2" t="n">
        <v>0.5425</v>
      </c>
    </row>
    <row r="182" customFormat="false" ht="15" hidden="false" customHeight="false" outlineLevel="0" collapsed="false">
      <c r="A182" s="2" t="s">
        <v>219</v>
      </c>
      <c r="B182" s="2" t="n">
        <v>700</v>
      </c>
      <c r="C182" s="2" t="s">
        <v>220</v>
      </c>
      <c r="D182" s="2" t="s">
        <v>28</v>
      </c>
      <c r="E182" s="2" t="n">
        <v>0.55</v>
      </c>
      <c r="F182" s="2" t="n">
        <v>0.7001</v>
      </c>
      <c r="G182" s="2" t="n">
        <v>0.3573</v>
      </c>
      <c r="H182" s="2" t="n">
        <v>0.5777</v>
      </c>
      <c r="I182" s="2" t="n">
        <v>0.3902</v>
      </c>
      <c r="J182" s="2" t="n">
        <v>0.148</v>
      </c>
    </row>
    <row r="183" customFormat="false" ht="15" hidden="false" customHeight="false" outlineLevel="0" collapsed="false">
      <c r="A183" s="2" t="s">
        <v>221</v>
      </c>
      <c r="B183" s="2" t="n">
        <v>700</v>
      </c>
      <c r="C183" s="2" t="s">
        <v>220</v>
      </c>
      <c r="D183" s="2" t="s">
        <v>28</v>
      </c>
      <c r="E183" s="2" t="n">
        <v>0.8</v>
      </c>
      <c r="F183" s="2" t="n">
        <v>0.7353</v>
      </c>
      <c r="G183" s="2" t="n">
        <v>0.3807</v>
      </c>
      <c r="H183" s="2" t="n">
        <v>0.6235</v>
      </c>
      <c r="I183" s="2" t="n">
        <v>0.4275</v>
      </c>
      <c r="J183" s="2" t="n">
        <v>0.1662</v>
      </c>
    </row>
    <row r="184" customFormat="false" ht="15" hidden="false" customHeight="false" outlineLevel="0" collapsed="false">
      <c r="A184" s="2" t="s">
        <v>222</v>
      </c>
      <c r="B184" s="2" t="n">
        <v>700</v>
      </c>
      <c r="C184" s="2" t="s">
        <v>220</v>
      </c>
      <c r="D184" s="2" t="s">
        <v>28</v>
      </c>
      <c r="E184" s="2" t="n">
        <v>1</v>
      </c>
      <c r="F184" s="2" t="n">
        <v>0.7592</v>
      </c>
      <c r="G184" s="2" t="n">
        <v>0.3953</v>
      </c>
      <c r="H184" s="2" t="n">
        <v>0.6525</v>
      </c>
      <c r="I184" s="2" t="n">
        <v>0.4529</v>
      </c>
      <c r="J184" s="2" t="n">
        <v>0.1798</v>
      </c>
    </row>
    <row r="185" customFormat="false" ht="15" hidden="false" customHeight="false" outlineLevel="0" collapsed="false">
      <c r="A185" s="2" t="s">
        <v>223</v>
      </c>
      <c r="B185" s="2" t="n">
        <v>700</v>
      </c>
      <c r="C185" s="2" t="s">
        <v>220</v>
      </c>
      <c r="D185" s="2" t="s">
        <v>28</v>
      </c>
      <c r="E185" s="2" t="n">
        <v>1.3</v>
      </c>
      <c r="F185" s="2" t="n">
        <v>0.7924</v>
      </c>
      <c r="G185" s="2" t="n">
        <v>0.4118</v>
      </c>
      <c r="H185" s="2" t="n">
        <v>0.6913</v>
      </c>
      <c r="I185" s="2" t="n">
        <v>0.486</v>
      </c>
      <c r="J185" s="2" t="n">
        <v>0.1946</v>
      </c>
    </row>
    <row r="186" customFormat="false" ht="15" hidden="false" customHeight="false" outlineLevel="0" collapsed="false">
      <c r="A186" s="2" t="s">
        <v>224</v>
      </c>
      <c r="B186" s="2" t="n">
        <v>700</v>
      </c>
      <c r="C186" s="2" t="s">
        <v>220</v>
      </c>
      <c r="D186" s="2" t="s">
        <v>28</v>
      </c>
      <c r="E186" s="2" t="n">
        <v>1.85</v>
      </c>
      <c r="F186" s="2" t="n">
        <v>0.8399</v>
      </c>
      <c r="G186" s="2" t="n">
        <v>0.4357</v>
      </c>
      <c r="H186" s="2" t="n">
        <v>0.7444</v>
      </c>
      <c r="I186" s="2" t="n">
        <v>0.5327</v>
      </c>
      <c r="J186" s="2" t="n">
        <v>0.2164</v>
      </c>
    </row>
    <row r="187" customFormat="false" ht="15" hidden="false" customHeight="false" outlineLevel="0" collapsed="false">
      <c r="A187" s="2" t="s">
        <v>225</v>
      </c>
      <c r="B187" s="2" t="n">
        <v>700</v>
      </c>
      <c r="C187" s="2" t="s">
        <v>220</v>
      </c>
      <c r="D187" s="2" t="s">
        <v>28</v>
      </c>
      <c r="E187" s="2" t="n">
        <v>2.4</v>
      </c>
      <c r="F187" s="2" t="n">
        <v>0.8706</v>
      </c>
      <c r="G187" s="2" t="n">
        <v>0.4534</v>
      </c>
      <c r="H187" s="2" t="n">
        <v>0.7795</v>
      </c>
      <c r="I187" s="2" t="n">
        <v>0.5646</v>
      </c>
      <c r="J187" s="2" t="n">
        <v>0.2349</v>
      </c>
    </row>
    <row r="188" customFormat="false" ht="15" hidden="false" customHeight="false" outlineLevel="0" collapsed="false">
      <c r="A188" s="2" t="s">
        <v>226</v>
      </c>
      <c r="B188" s="2" t="n">
        <v>700</v>
      </c>
      <c r="C188" s="2" t="s">
        <v>220</v>
      </c>
      <c r="D188" s="2" t="s">
        <v>35</v>
      </c>
      <c r="E188" s="2" t="n">
        <v>0.55</v>
      </c>
      <c r="F188" s="2" t="n">
        <v>0.7109</v>
      </c>
      <c r="G188" s="2" t="n">
        <v>0.3844</v>
      </c>
      <c r="H188" s="2" t="n">
        <v>0.5729</v>
      </c>
      <c r="I188" s="2" t="n">
        <v>0.3642</v>
      </c>
      <c r="J188" s="2" t="n">
        <v>0.1481</v>
      </c>
    </row>
    <row r="189" customFormat="false" ht="15" hidden="false" customHeight="false" outlineLevel="0" collapsed="false">
      <c r="A189" s="2" t="s">
        <v>227</v>
      </c>
      <c r="B189" s="2" t="n">
        <v>700</v>
      </c>
      <c r="C189" s="2" t="s">
        <v>220</v>
      </c>
      <c r="D189" s="2" t="s">
        <v>35</v>
      </c>
      <c r="E189" s="2" t="n">
        <v>0.8</v>
      </c>
      <c r="F189" s="2" t="n">
        <v>0.7445</v>
      </c>
      <c r="G189" s="2" t="n">
        <v>0.4088</v>
      </c>
      <c r="H189" s="2" t="n">
        <v>0.619</v>
      </c>
      <c r="I189" s="2" t="n">
        <v>0.4012</v>
      </c>
      <c r="J189" s="2" t="n">
        <v>0.1678</v>
      </c>
    </row>
    <row r="190" customFormat="false" ht="15" hidden="false" customHeight="false" outlineLevel="0" collapsed="false">
      <c r="A190" s="2" t="s">
        <v>228</v>
      </c>
      <c r="B190" s="2" t="n">
        <v>700</v>
      </c>
      <c r="C190" s="2" t="s">
        <v>220</v>
      </c>
      <c r="D190" s="2" t="s">
        <v>35</v>
      </c>
      <c r="E190" s="2" t="n">
        <v>1</v>
      </c>
      <c r="F190" s="2" t="n">
        <v>0.7681</v>
      </c>
      <c r="G190" s="2" t="n">
        <v>0.4243</v>
      </c>
      <c r="H190" s="2" t="n">
        <v>0.6489</v>
      </c>
      <c r="I190" s="2" t="n">
        <v>0.4266</v>
      </c>
      <c r="J190" s="2" t="n">
        <v>0.1819</v>
      </c>
    </row>
    <row r="191" customFormat="false" ht="15" hidden="false" customHeight="false" outlineLevel="0" collapsed="false">
      <c r="A191" s="2" t="s">
        <v>229</v>
      </c>
      <c r="B191" s="2" t="n">
        <v>700</v>
      </c>
      <c r="C191" s="2" t="s">
        <v>220</v>
      </c>
      <c r="D191" s="2" t="s">
        <v>35</v>
      </c>
      <c r="E191" s="2" t="n">
        <v>1.3</v>
      </c>
      <c r="F191" s="2" t="n">
        <v>0.8002</v>
      </c>
      <c r="G191" s="2" t="n">
        <v>0.441</v>
      </c>
      <c r="H191" s="2" t="n">
        <v>0.6877</v>
      </c>
      <c r="I191" s="2" t="n">
        <v>0.4596</v>
      </c>
      <c r="J191" s="2" t="n">
        <v>0.1981</v>
      </c>
    </row>
    <row r="192" customFormat="false" ht="15" hidden="false" customHeight="false" outlineLevel="0" collapsed="false">
      <c r="A192" s="2" t="s">
        <v>230</v>
      </c>
      <c r="B192" s="2" t="n">
        <v>700</v>
      </c>
      <c r="C192" s="2" t="s">
        <v>220</v>
      </c>
      <c r="D192" s="2" t="s">
        <v>35</v>
      </c>
      <c r="E192" s="2" t="n">
        <v>1.85</v>
      </c>
      <c r="F192" s="2" t="n">
        <v>0.846</v>
      </c>
      <c r="G192" s="2" t="n">
        <v>0.4648</v>
      </c>
      <c r="H192" s="2" t="n">
        <v>0.7401</v>
      </c>
      <c r="I192" s="2" t="n">
        <v>0.5059</v>
      </c>
      <c r="J192" s="2" t="n">
        <v>0.2212</v>
      </c>
    </row>
    <row r="193" customFormat="false" ht="15" hidden="false" customHeight="false" outlineLevel="0" collapsed="false">
      <c r="A193" s="2" t="s">
        <v>231</v>
      </c>
      <c r="B193" s="2" t="n">
        <v>700</v>
      </c>
      <c r="C193" s="2" t="s">
        <v>220</v>
      </c>
      <c r="D193" s="2" t="s">
        <v>35</v>
      </c>
      <c r="E193" s="2" t="n">
        <v>2.4</v>
      </c>
      <c r="F193" s="2" t="n">
        <v>0.8756</v>
      </c>
      <c r="G193" s="2" t="n">
        <v>0.4819</v>
      </c>
      <c r="H193" s="2" t="n">
        <v>0.7745</v>
      </c>
      <c r="I193" s="2" t="n">
        <v>0.5373</v>
      </c>
      <c r="J193" s="2" t="n">
        <v>0.2404</v>
      </c>
    </row>
    <row r="194" customFormat="false" ht="15" hidden="false" customHeight="false" outlineLevel="0" collapsed="false">
      <c r="A194" s="2" t="s">
        <v>232</v>
      </c>
      <c r="B194" s="2" t="n">
        <v>700</v>
      </c>
      <c r="C194" s="2" t="s">
        <v>220</v>
      </c>
      <c r="D194" s="2" t="s">
        <v>42</v>
      </c>
      <c r="E194" s="2" t="n">
        <v>0.55</v>
      </c>
      <c r="F194" s="2" t="n">
        <v>0.9948</v>
      </c>
      <c r="G194" s="2" t="n">
        <v>0.6415</v>
      </c>
      <c r="H194" s="2" t="n">
        <v>0.9706</v>
      </c>
      <c r="I194" s="2" t="n">
        <v>0.7907</v>
      </c>
      <c r="J194" s="2" t="n">
        <v>0.5211</v>
      </c>
    </row>
    <row r="195" customFormat="false" ht="15" hidden="false" customHeight="false" outlineLevel="0" collapsed="false">
      <c r="A195" s="2" t="s">
        <v>233</v>
      </c>
      <c r="B195" s="2" t="n">
        <v>700</v>
      </c>
      <c r="C195" s="2" t="s">
        <v>220</v>
      </c>
      <c r="D195" s="2" t="s">
        <v>42</v>
      </c>
      <c r="E195" s="2" t="n">
        <v>0.8</v>
      </c>
      <c r="F195" s="2" t="n">
        <v>0.9948</v>
      </c>
      <c r="G195" s="2" t="n">
        <v>0.642</v>
      </c>
      <c r="H195" s="2" t="n">
        <v>0.9706</v>
      </c>
      <c r="I195" s="2" t="n">
        <v>0.7907</v>
      </c>
      <c r="J195" s="2" t="n">
        <v>0.5216</v>
      </c>
    </row>
    <row r="196" customFormat="false" ht="15" hidden="false" customHeight="false" outlineLevel="0" collapsed="false">
      <c r="A196" s="2" t="s">
        <v>234</v>
      </c>
      <c r="B196" s="2" t="n">
        <v>700</v>
      </c>
      <c r="C196" s="2" t="s">
        <v>220</v>
      </c>
      <c r="D196" s="2" t="s">
        <v>42</v>
      </c>
      <c r="E196" s="2" t="n">
        <v>1</v>
      </c>
      <c r="F196" s="2" t="n">
        <v>0.9948</v>
      </c>
      <c r="G196" s="2" t="n">
        <v>0.6426</v>
      </c>
      <c r="H196" s="2" t="n">
        <v>0.9706</v>
      </c>
      <c r="I196" s="2" t="n">
        <v>0.7908</v>
      </c>
      <c r="J196" s="2" t="n">
        <v>0.5223</v>
      </c>
    </row>
    <row r="197" customFormat="false" ht="15" hidden="false" customHeight="false" outlineLevel="0" collapsed="false">
      <c r="A197" s="2" t="s">
        <v>235</v>
      </c>
      <c r="B197" s="2" t="n">
        <v>700</v>
      </c>
      <c r="C197" s="2" t="s">
        <v>220</v>
      </c>
      <c r="D197" s="2" t="s">
        <v>42</v>
      </c>
      <c r="E197" s="2" t="n">
        <v>1.3</v>
      </c>
      <c r="F197" s="2" t="n">
        <v>0.9948</v>
      </c>
      <c r="G197" s="2" t="n">
        <v>0.6433</v>
      </c>
      <c r="H197" s="2" t="n">
        <v>0.9706</v>
      </c>
      <c r="I197" s="2" t="n">
        <v>0.7908</v>
      </c>
      <c r="J197" s="2" t="n">
        <v>0.5231</v>
      </c>
    </row>
    <row r="198" customFormat="false" ht="15" hidden="false" customHeight="false" outlineLevel="0" collapsed="false">
      <c r="A198" s="2" t="s">
        <v>236</v>
      </c>
      <c r="B198" s="2" t="n">
        <v>700</v>
      </c>
      <c r="C198" s="2" t="s">
        <v>220</v>
      </c>
      <c r="D198" s="2" t="s">
        <v>42</v>
      </c>
      <c r="E198" s="2" t="n">
        <v>1.85</v>
      </c>
      <c r="F198" s="2" t="n">
        <v>0.9948</v>
      </c>
      <c r="G198" s="2" t="n">
        <v>0.6451</v>
      </c>
      <c r="H198" s="2" t="n">
        <v>0.971</v>
      </c>
      <c r="I198" s="2" t="n">
        <v>0.791</v>
      </c>
      <c r="J198" s="2" t="n">
        <v>0.5258</v>
      </c>
    </row>
    <row r="199" customFormat="false" ht="15" hidden="false" customHeight="false" outlineLevel="0" collapsed="false">
      <c r="A199" s="2" t="s">
        <v>237</v>
      </c>
      <c r="B199" s="2" t="n">
        <v>700</v>
      </c>
      <c r="C199" s="2" t="s">
        <v>220</v>
      </c>
      <c r="D199" s="2" t="s">
        <v>42</v>
      </c>
      <c r="E199" s="2" t="n">
        <v>2.4</v>
      </c>
      <c r="F199" s="2" t="n">
        <v>0.9948</v>
      </c>
      <c r="G199" s="2" t="n">
        <v>0.647</v>
      </c>
      <c r="H199" s="2" t="n">
        <v>0.9713</v>
      </c>
      <c r="I199" s="2" t="n">
        <v>0.7913</v>
      </c>
      <c r="J199" s="2" t="n">
        <v>0.5287</v>
      </c>
    </row>
    <row r="200" customFormat="false" ht="15" hidden="false" customHeight="false" outlineLevel="0" collapsed="false">
      <c r="A200" s="2" t="s">
        <v>238</v>
      </c>
      <c r="B200" s="2" t="n">
        <v>680</v>
      </c>
      <c r="C200" s="2" t="s">
        <v>239</v>
      </c>
      <c r="D200" s="2" t="s">
        <v>28</v>
      </c>
      <c r="E200" s="2" t="n">
        <v>0.55</v>
      </c>
      <c r="F200" s="2" t="n">
        <v>0.6923</v>
      </c>
      <c r="G200" s="2" t="n">
        <v>0.3484</v>
      </c>
      <c r="H200" s="2" t="n">
        <v>0.5713</v>
      </c>
      <c r="I200" s="2" t="n">
        <v>0.3882</v>
      </c>
      <c r="J200" s="2" t="n">
        <v>0.1439</v>
      </c>
    </row>
    <row r="201" customFormat="false" ht="15" hidden="false" customHeight="false" outlineLevel="0" collapsed="false">
      <c r="A201" s="2" t="s">
        <v>240</v>
      </c>
      <c r="B201" s="2" t="n">
        <v>680</v>
      </c>
      <c r="C201" s="2" t="s">
        <v>239</v>
      </c>
      <c r="D201" s="2" t="s">
        <v>28</v>
      </c>
      <c r="E201" s="2" t="n">
        <v>0.8</v>
      </c>
      <c r="F201" s="2" t="n">
        <v>0.7297</v>
      </c>
      <c r="G201" s="2" t="n">
        <v>0.3722</v>
      </c>
      <c r="H201" s="2" t="n">
        <v>0.6195</v>
      </c>
      <c r="I201" s="2" t="n">
        <v>0.4268</v>
      </c>
      <c r="J201" s="2" t="n">
        <v>0.1621</v>
      </c>
    </row>
    <row r="202" customFormat="false" ht="15" hidden="false" customHeight="false" outlineLevel="0" collapsed="false">
      <c r="A202" s="2" t="s">
        <v>241</v>
      </c>
      <c r="B202" s="2" t="n">
        <v>680</v>
      </c>
      <c r="C202" s="2" t="s">
        <v>239</v>
      </c>
      <c r="D202" s="2" t="s">
        <v>28</v>
      </c>
      <c r="E202" s="2" t="n">
        <v>1</v>
      </c>
      <c r="F202" s="2" t="n">
        <v>0.7551</v>
      </c>
      <c r="G202" s="2" t="n">
        <v>0.3875</v>
      </c>
      <c r="H202" s="2" t="n">
        <v>0.6501</v>
      </c>
      <c r="I202" s="2" t="n">
        <v>0.4528</v>
      </c>
      <c r="J202" s="2" t="n">
        <v>0.1752</v>
      </c>
    </row>
    <row r="203" customFormat="false" ht="15" hidden="false" customHeight="false" outlineLevel="0" collapsed="false">
      <c r="A203" s="2" t="s">
        <v>242</v>
      </c>
      <c r="B203" s="2" t="n">
        <v>680</v>
      </c>
      <c r="C203" s="2" t="s">
        <v>239</v>
      </c>
      <c r="D203" s="2" t="s">
        <v>28</v>
      </c>
      <c r="E203" s="2" t="n">
        <v>1.3</v>
      </c>
      <c r="F203" s="2" t="n">
        <v>0.7866</v>
      </c>
      <c r="G203" s="2" t="n">
        <v>0.4032</v>
      </c>
      <c r="H203" s="2" t="n">
        <v>0.6866</v>
      </c>
      <c r="I203" s="2" t="n">
        <v>0.4847</v>
      </c>
      <c r="J203" s="2" t="n">
        <v>0.1896</v>
      </c>
    </row>
    <row r="204" customFormat="false" ht="15" hidden="false" customHeight="false" outlineLevel="0" collapsed="false">
      <c r="A204" s="2" t="s">
        <v>243</v>
      </c>
      <c r="B204" s="2" t="n">
        <v>680</v>
      </c>
      <c r="C204" s="2" t="s">
        <v>239</v>
      </c>
      <c r="D204" s="2" t="s">
        <v>28</v>
      </c>
      <c r="E204" s="2" t="n">
        <v>1.85</v>
      </c>
      <c r="F204" s="2" t="n">
        <v>0.8358</v>
      </c>
      <c r="G204" s="2" t="n">
        <v>0.4273</v>
      </c>
      <c r="H204" s="2" t="n">
        <v>0.7409</v>
      </c>
      <c r="I204" s="2" t="n">
        <v>0.5328</v>
      </c>
      <c r="J204" s="2" t="n">
        <v>0.2117</v>
      </c>
    </row>
    <row r="205" customFormat="false" ht="15" hidden="false" customHeight="false" outlineLevel="0" collapsed="false">
      <c r="A205" s="2" t="s">
        <v>244</v>
      </c>
      <c r="B205" s="2" t="n">
        <v>680</v>
      </c>
      <c r="C205" s="2" t="s">
        <v>239</v>
      </c>
      <c r="D205" s="2" t="s">
        <v>28</v>
      </c>
      <c r="E205" s="2" t="n">
        <v>2.4</v>
      </c>
      <c r="F205" s="2" t="n">
        <v>0.8669</v>
      </c>
      <c r="G205" s="2" t="n">
        <v>0.4447</v>
      </c>
      <c r="H205" s="2" t="n">
        <v>0.7758</v>
      </c>
      <c r="I205" s="2" t="n">
        <v>0.565</v>
      </c>
      <c r="J205" s="2" t="n">
        <v>0.2296</v>
      </c>
    </row>
    <row r="206" customFormat="false" ht="15" hidden="false" customHeight="false" outlineLevel="0" collapsed="false">
      <c r="A206" s="2" t="s">
        <v>245</v>
      </c>
      <c r="B206" s="2" t="n">
        <v>680</v>
      </c>
      <c r="C206" s="2" t="s">
        <v>239</v>
      </c>
      <c r="D206" s="2" t="s">
        <v>35</v>
      </c>
      <c r="E206" s="2" t="n">
        <v>0.55</v>
      </c>
      <c r="F206" s="2" t="n">
        <v>0.7035</v>
      </c>
      <c r="G206" s="2" t="n">
        <v>0.3766</v>
      </c>
      <c r="H206" s="2" t="n">
        <v>0.5666</v>
      </c>
      <c r="I206" s="2" t="n">
        <v>0.362</v>
      </c>
      <c r="J206" s="2" t="n">
        <v>0.1442</v>
      </c>
    </row>
    <row r="207" customFormat="false" ht="15" hidden="false" customHeight="false" outlineLevel="0" collapsed="false">
      <c r="A207" s="2" t="s">
        <v>246</v>
      </c>
      <c r="B207" s="2" t="n">
        <v>680</v>
      </c>
      <c r="C207" s="2" t="s">
        <v>239</v>
      </c>
      <c r="D207" s="2" t="s">
        <v>35</v>
      </c>
      <c r="E207" s="2" t="n">
        <v>0.8</v>
      </c>
      <c r="F207" s="2" t="n">
        <v>0.7391</v>
      </c>
      <c r="G207" s="2" t="n">
        <v>0.4016</v>
      </c>
      <c r="H207" s="2" t="n">
        <v>0.6154</v>
      </c>
      <c r="I207" s="2" t="n">
        <v>0.4002</v>
      </c>
      <c r="J207" s="2" t="n">
        <v>0.1634</v>
      </c>
    </row>
    <row r="208" customFormat="false" ht="15" hidden="false" customHeight="false" outlineLevel="0" collapsed="false">
      <c r="A208" s="2" t="s">
        <v>247</v>
      </c>
      <c r="B208" s="2" t="n">
        <v>680</v>
      </c>
      <c r="C208" s="2" t="s">
        <v>239</v>
      </c>
      <c r="D208" s="2" t="s">
        <v>35</v>
      </c>
      <c r="E208" s="2" t="n">
        <v>1</v>
      </c>
      <c r="F208" s="2" t="n">
        <v>0.7637</v>
      </c>
      <c r="G208" s="2" t="n">
        <v>0.4167</v>
      </c>
      <c r="H208" s="2" t="n">
        <v>0.6458</v>
      </c>
      <c r="I208" s="2" t="n">
        <v>0.4263</v>
      </c>
      <c r="J208" s="2" t="n">
        <v>0.1771</v>
      </c>
    </row>
    <row r="209" customFormat="false" ht="15" hidden="false" customHeight="false" outlineLevel="0" collapsed="false">
      <c r="A209" s="2" t="s">
        <v>248</v>
      </c>
      <c r="B209" s="2" t="n">
        <v>680</v>
      </c>
      <c r="C209" s="2" t="s">
        <v>239</v>
      </c>
      <c r="D209" s="2" t="s">
        <v>35</v>
      </c>
      <c r="E209" s="2" t="n">
        <v>1.3</v>
      </c>
      <c r="F209" s="2" t="n">
        <v>0.7942</v>
      </c>
      <c r="G209" s="2" t="n">
        <v>0.4325</v>
      </c>
      <c r="H209" s="2" t="n">
        <v>0.6823</v>
      </c>
      <c r="I209" s="2" t="n">
        <v>0.4579</v>
      </c>
      <c r="J209" s="2" t="n">
        <v>0.1927</v>
      </c>
    </row>
    <row r="210" customFormat="false" ht="15" hidden="false" customHeight="false" outlineLevel="0" collapsed="false">
      <c r="A210" s="2" t="s">
        <v>249</v>
      </c>
      <c r="B210" s="2" t="n">
        <v>680</v>
      </c>
      <c r="C210" s="2" t="s">
        <v>239</v>
      </c>
      <c r="D210" s="2" t="s">
        <v>35</v>
      </c>
      <c r="E210" s="2" t="n">
        <v>1.85</v>
      </c>
      <c r="F210" s="2" t="n">
        <v>0.8417</v>
      </c>
      <c r="G210" s="2" t="n">
        <v>0.4565</v>
      </c>
      <c r="H210" s="2" t="n">
        <v>0.7361</v>
      </c>
      <c r="I210" s="2" t="n">
        <v>0.5059</v>
      </c>
      <c r="J210" s="2" t="n">
        <v>0.216</v>
      </c>
    </row>
    <row r="211" customFormat="false" ht="15" hidden="false" customHeight="false" outlineLevel="0" collapsed="false">
      <c r="A211" s="2" t="s">
        <v>250</v>
      </c>
      <c r="B211" s="2" t="n">
        <v>680</v>
      </c>
      <c r="C211" s="2" t="s">
        <v>239</v>
      </c>
      <c r="D211" s="2" t="s">
        <v>35</v>
      </c>
      <c r="E211" s="2" t="n">
        <v>2.4</v>
      </c>
      <c r="F211" s="2" t="n">
        <v>0.8714</v>
      </c>
      <c r="G211" s="2" t="n">
        <v>0.4732</v>
      </c>
      <c r="H211" s="2" t="n">
        <v>0.7698</v>
      </c>
      <c r="I211" s="2" t="n">
        <v>0.5379</v>
      </c>
      <c r="J211" s="2" t="n">
        <v>0.2351</v>
      </c>
    </row>
    <row r="212" customFormat="false" ht="15" hidden="false" customHeight="false" outlineLevel="0" collapsed="false">
      <c r="A212" s="2" t="s">
        <v>251</v>
      </c>
      <c r="B212" s="2" t="n">
        <v>680</v>
      </c>
      <c r="C212" s="2" t="s">
        <v>239</v>
      </c>
      <c r="D212" s="2" t="s">
        <v>42</v>
      </c>
      <c r="E212" s="2" t="n">
        <v>0.55</v>
      </c>
      <c r="F212" s="2" t="n">
        <v>0.9939</v>
      </c>
      <c r="G212" s="2" t="n">
        <v>0.6308</v>
      </c>
      <c r="H212" s="2" t="n">
        <v>0.9684</v>
      </c>
      <c r="I212" s="2" t="n">
        <v>0.7881</v>
      </c>
      <c r="J212" s="2" t="n">
        <v>0.5069</v>
      </c>
    </row>
    <row r="213" customFormat="false" ht="15" hidden="false" customHeight="false" outlineLevel="0" collapsed="false">
      <c r="A213" s="2" t="s">
        <v>252</v>
      </c>
      <c r="B213" s="2" t="n">
        <v>680</v>
      </c>
      <c r="C213" s="2" t="s">
        <v>239</v>
      </c>
      <c r="D213" s="2" t="s">
        <v>42</v>
      </c>
      <c r="E213" s="2" t="n">
        <v>0.8</v>
      </c>
      <c r="F213" s="2" t="n">
        <v>0.9939</v>
      </c>
      <c r="G213" s="2" t="n">
        <v>0.6314</v>
      </c>
      <c r="H213" s="2" t="n">
        <v>0.9684</v>
      </c>
      <c r="I213" s="2" t="n">
        <v>0.7881</v>
      </c>
      <c r="J213" s="2" t="n">
        <v>0.5075</v>
      </c>
    </row>
    <row r="214" customFormat="false" ht="15" hidden="false" customHeight="false" outlineLevel="0" collapsed="false">
      <c r="A214" s="2" t="s">
        <v>253</v>
      </c>
      <c r="B214" s="2" t="n">
        <v>680</v>
      </c>
      <c r="C214" s="2" t="s">
        <v>239</v>
      </c>
      <c r="D214" s="2" t="s">
        <v>42</v>
      </c>
      <c r="E214" s="2" t="n">
        <v>1</v>
      </c>
      <c r="F214" s="2" t="n">
        <v>0.9939</v>
      </c>
      <c r="G214" s="2" t="n">
        <v>0.6321</v>
      </c>
      <c r="H214" s="2" t="n">
        <v>0.9684</v>
      </c>
      <c r="I214" s="2" t="n">
        <v>0.7881</v>
      </c>
      <c r="J214" s="2" t="n">
        <v>0.5081</v>
      </c>
    </row>
    <row r="215" customFormat="false" ht="15" hidden="false" customHeight="false" outlineLevel="0" collapsed="false">
      <c r="A215" s="2" t="s">
        <v>254</v>
      </c>
      <c r="B215" s="2" t="n">
        <v>680</v>
      </c>
      <c r="C215" s="2" t="s">
        <v>239</v>
      </c>
      <c r="D215" s="2" t="s">
        <v>42</v>
      </c>
      <c r="E215" s="2" t="n">
        <v>1.3</v>
      </c>
      <c r="F215" s="2" t="n">
        <v>0.9939</v>
      </c>
      <c r="G215" s="2" t="n">
        <v>0.633</v>
      </c>
      <c r="H215" s="2" t="n">
        <v>0.9685</v>
      </c>
      <c r="I215" s="2" t="n">
        <v>0.788</v>
      </c>
      <c r="J215" s="2" t="n">
        <v>0.5093</v>
      </c>
    </row>
    <row r="216" customFormat="false" ht="15" hidden="false" customHeight="false" outlineLevel="0" collapsed="false">
      <c r="A216" s="2" t="s">
        <v>255</v>
      </c>
      <c r="B216" s="2" t="n">
        <v>680</v>
      </c>
      <c r="C216" s="2" t="s">
        <v>239</v>
      </c>
      <c r="D216" s="2" t="s">
        <v>42</v>
      </c>
      <c r="E216" s="2" t="n">
        <v>1.85</v>
      </c>
      <c r="F216" s="2" t="n">
        <v>0.9939</v>
      </c>
      <c r="G216" s="2" t="n">
        <v>0.6348</v>
      </c>
      <c r="H216" s="2" t="n">
        <v>0.9689</v>
      </c>
      <c r="I216" s="2" t="n">
        <v>0.7885</v>
      </c>
      <c r="J216" s="2" t="n">
        <v>0.5122</v>
      </c>
    </row>
    <row r="217" customFormat="false" ht="15" hidden="false" customHeight="false" outlineLevel="0" collapsed="false">
      <c r="A217" s="2" t="s">
        <v>256</v>
      </c>
      <c r="B217" s="2" t="n">
        <v>680</v>
      </c>
      <c r="C217" s="2" t="s">
        <v>239</v>
      </c>
      <c r="D217" s="2" t="s">
        <v>42</v>
      </c>
      <c r="E217" s="2" t="n">
        <v>2.4</v>
      </c>
      <c r="F217" s="2" t="n">
        <v>0.9939</v>
      </c>
      <c r="G217" s="2" t="n">
        <v>0.6366</v>
      </c>
      <c r="H217" s="2" t="n">
        <v>0.9691</v>
      </c>
      <c r="I217" s="2" t="n">
        <v>0.7888</v>
      </c>
      <c r="J217" s="2" t="n">
        <v>0.5151</v>
      </c>
    </row>
    <row r="218" customFormat="false" ht="15" hidden="false" customHeight="false" outlineLevel="0" collapsed="false">
      <c r="A218" s="2" t="s">
        <v>257</v>
      </c>
      <c r="B218" s="2" t="n">
        <v>660</v>
      </c>
      <c r="C218" s="2" t="s">
        <v>258</v>
      </c>
      <c r="D218" s="2" t="s">
        <v>28</v>
      </c>
      <c r="E218" s="2" t="n">
        <v>0.55</v>
      </c>
      <c r="F218" s="2" t="n">
        <v>0.6835</v>
      </c>
      <c r="G218" s="2" t="n">
        <v>0.3393</v>
      </c>
      <c r="H218" s="2" t="n">
        <v>0.5636</v>
      </c>
      <c r="I218" s="2" t="n">
        <v>0.3842</v>
      </c>
      <c r="J218" s="2" t="n">
        <v>0.1388</v>
      </c>
    </row>
    <row r="219" customFormat="false" ht="15" hidden="false" customHeight="false" outlineLevel="0" collapsed="false">
      <c r="A219" s="2" t="s">
        <v>259</v>
      </c>
      <c r="B219" s="2" t="n">
        <v>660</v>
      </c>
      <c r="C219" s="2" t="s">
        <v>258</v>
      </c>
      <c r="D219" s="2" t="s">
        <v>28</v>
      </c>
      <c r="E219" s="2" t="n">
        <v>0.8</v>
      </c>
      <c r="F219" s="2" t="n">
        <v>0.7212</v>
      </c>
      <c r="G219" s="2" t="n">
        <v>0.3633</v>
      </c>
      <c r="H219" s="2" t="n">
        <v>0.6119</v>
      </c>
      <c r="I219" s="2" t="n">
        <v>0.4221</v>
      </c>
      <c r="J219" s="2" t="n">
        <v>0.1564</v>
      </c>
    </row>
    <row r="220" customFormat="false" ht="15" hidden="false" customHeight="false" outlineLevel="0" collapsed="false">
      <c r="A220" s="2" t="s">
        <v>260</v>
      </c>
      <c r="B220" s="2" t="n">
        <v>660</v>
      </c>
      <c r="C220" s="2" t="s">
        <v>258</v>
      </c>
      <c r="D220" s="2" t="s">
        <v>28</v>
      </c>
      <c r="E220" s="2" t="n">
        <v>1</v>
      </c>
      <c r="F220" s="2" t="n">
        <v>0.7478</v>
      </c>
      <c r="G220" s="2" t="n">
        <v>0.3787</v>
      </c>
      <c r="H220" s="2" t="n">
        <v>0.6435</v>
      </c>
      <c r="I220" s="2" t="n">
        <v>0.4481</v>
      </c>
      <c r="J220" s="2" t="n">
        <v>0.1692</v>
      </c>
    </row>
    <row r="221" customFormat="false" ht="15" hidden="false" customHeight="false" outlineLevel="0" collapsed="false">
      <c r="A221" s="2" t="s">
        <v>261</v>
      </c>
      <c r="B221" s="2" t="n">
        <v>660</v>
      </c>
      <c r="C221" s="2" t="s">
        <v>258</v>
      </c>
      <c r="D221" s="2" t="s">
        <v>28</v>
      </c>
      <c r="E221" s="2" t="n">
        <v>1.3</v>
      </c>
      <c r="F221" s="2" t="n">
        <v>0.78</v>
      </c>
      <c r="G221" s="2" t="n">
        <v>0.3967</v>
      </c>
      <c r="H221" s="2" t="n">
        <v>0.6809</v>
      </c>
      <c r="I221" s="2" t="n">
        <v>0.4799</v>
      </c>
      <c r="J221" s="2" t="n">
        <v>0.184</v>
      </c>
    </row>
    <row r="222" customFormat="false" ht="15" hidden="false" customHeight="false" outlineLevel="0" collapsed="false">
      <c r="A222" s="2" t="s">
        <v>262</v>
      </c>
      <c r="B222" s="2" t="n">
        <v>660</v>
      </c>
      <c r="C222" s="2" t="s">
        <v>258</v>
      </c>
      <c r="D222" s="2" t="s">
        <v>28</v>
      </c>
      <c r="E222" s="2" t="n">
        <v>1.85</v>
      </c>
      <c r="F222" s="2" t="n">
        <v>0.8296</v>
      </c>
      <c r="G222" s="2" t="n">
        <v>0.421</v>
      </c>
      <c r="H222" s="2" t="n">
        <v>0.7348</v>
      </c>
      <c r="I222" s="2" t="n">
        <v>0.5276</v>
      </c>
      <c r="J222" s="2" t="n">
        <v>0.2065</v>
      </c>
    </row>
    <row r="223" customFormat="false" ht="15" hidden="false" customHeight="false" outlineLevel="0" collapsed="false">
      <c r="A223" s="2" t="s">
        <v>263</v>
      </c>
      <c r="B223" s="2" t="n">
        <v>660</v>
      </c>
      <c r="C223" s="2" t="s">
        <v>258</v>
      </c>
      <c r="D223" s="2" t="s">
        <v>28</v>
      </c>
      <c r="E223" s="2" t="n">
        <v>2.4</v>
      </c>
      <c r="F223" s="2" t="n">
        <v>0.8628</v>
      </c>
      <c r="G223" s="2" t="n">
        <v>0.438</v>
      </c>
      <c r="H223" s="2" t="n">
        <v>0.7714</v>
      </c>
      <c r="I223" s="2" t="n">
        <v>0.5611</v>
      </c>
      <c r="J223" s="2" t="n">
        <v>0.224</v>
      </c>
    </row>
    <row r="224" customFormat="false" ht="15" hidden="false" customHeight="false" outlineLevel="0" collapsed="false">
      <c r="A224" s="2" t="s">
        <v>264</v>
      </c>
      <c r="B224" s="2" t="n">
        <v>660</v>
      </c>
      <c r="C224" s="2" t="s">
        <v>258</v>
      </c>
      <c r="D224" s="2" t="s">
        <v>35</v>
      </c>
      <c r="E224" s="2" t="n">
        <v>0.55</v>
      </c>
      <c r="F224" s="2" t="n">
        <v>0.6959</v>
      </c>
      <c r="G224" s="2" t="n">
        <v>0.3689</v>
      </c>
      <c r="H224" s="2" t="n">
        <v>0.5601</v>
      </c>
      <c r="I224" s="2" t="n">
        <v>0.3588</v>
      </c>
      <c r="J224" s="2" t="n">
        <v>0.1396</v>
      </c>
    </row>
    <row r="225" customFormat="false" ht="15" hidden="false" customHeight="false" outlineLevel="0" collapsed="false">
      <c r="A225" s="2" t="s">
        <v>265</v>
      </c>
      <c r="B225" s="2" t="n">
        <v>660</v>
      </c>
      <c r="C225" s="2" t="s">
        <v>258</v>
      </c>
      <c r="D225" s="2" t="s">
        <v>35</v>
      </c>
      <c r="E225" s="2" t="n">
        <v>0.8</v>
      </c>
      <c r="F225" s="2" t="n">
        <v>0.7316</v>
      </c>
      <c r="G225" s="2" t="n">
        <v>0.3936</v>
      </c>
      <c r="H225" s="2" t="n">
        <v>0.609</v>
      </c>
      <c r="I225" s="2" t="n">
        <v>0.3967</v>
      </c>
      <c r="J225" s="2" t="n">
        <v>0.1588</v>
      </c>
    </row>
    <row r="226" customFormat="false" ht="15" hidden="false" customHeight="false" outlineLevel="0" collapsed="false">
      <c r="A226" s="2" t="s">
        <v>266</v>
      </c>
      <c r="B226" s="2" t="n">
        <v>660</v>
      </c>
      <c r="C226" s="2" t="s">
        <v>258</v>
      </c>
      <c r="D226" s="2" t="s">
        <v>35</v>
      </c>
      <c r="E226" s="2" t="n">
        <v>1</v>
      </c>
      <c r="F226" s="2" t="n">
        <v>0.7572</v>
      </c>
      <c r="G226" s="2" t="n">
        <v>0.4086</v>
      </c>
      <c r="H226" s="2" t="n">
        <v>0.6402</v>
      </c>
      <c r="I226" s="2" t="n">
        <v>0.4225</v>
      </c>
      <c r="J226" s="2" t="n">
        <v>0.1722</v>
      </c>
    </row>
    <row r="227" customFormat="false" ht="15" hidden="false" customHeight="false" outlineLevel="0" collapsed="false">
      <c r="A227" s="2" t="s">
        <v>267</v>
      </c>
      <c r="B227" s="2" t="n">
        <v>660</v>
      </c>
      <c r="C227" s="2" t="s">
        <v>258</v>
      </c>
      <c r="D227" s="2" t="s">
        <v>35</v>
      </c>
      <c r="E227" s="2" t="n">
        <v>1.3</v>
      </c>
      <c r="F227" s="2" t="n">
        <v>0.788</v>
      </c>
      <c r="G227" s="2" t="n">
        <v>0.4265</v>
      </c>
      <c r="H227" s="2" t="n">
        <v>0.6773</v>
      </c>
      <c r="I227" s="2" t="n">
        <v>0.4541</v>
      </c>
      <c r="J227" s="2" t="n">
        <v>0.188</v>
      </c>
    </row>
    <row r="228" customFormat="false" ht="15" hidden="false" customHeight="false" outlineLevel="0" collapsed="false">
      <c r="A228" s="2" t="s">
        <v>268</v>
      </c>
      <c r="B228" s="2" t="n">
        <v>660</v>
      </c>
      <c r="C228" s="2" t="s">
        <v>258</v>
      </c>
      <c r="D228" s="2" t="s">
        <v>35</v>
      </c>
      <c r="E228" s="2" t="n">
        <v>1.85</v>
      </c>
      <c r="F228" s="2" t="n">
        <v>0.8368</v>
      </c>
      <c r="G228" s="2" t="n">
        <v>0.4515</v>
      </c>
      <c r="H228" s="2" t="n">
        <v>0.7315</v>
      </c>
      <c r="I228" s="2" t="n">
        <v>0.5027</v>
      </c>
      <c r="J228" s="2" t="n">
        <v>0.2128</v>
      </c>
    </row>
    <row r="229" customFormat="false" ht="15" hidden="false" customHeight="false" outlineLevel="0" collapsed="false">
      <c r="A229" s="2" t="s">
        <v>269</v>
      </c>
      <c r="B229" s="2" t="n">
        <v>660</v>
      </c>
      <c r="C229" s="2" t="s">
        <v>258</v>
      </c>
      <c r="D229" s="2" t="s">
        <v>35</v>
      </c>
      <c r="E229" s="2" t="n">
        <v>2.4</v>
      </c>
      <c r="F229" s="2" t="n">
        <v>0.8685</v>
      </c>
      <c r="G229" s="2" t="n">
        <v>0.4682</v>
      </c>
      <c r="H229" s="2" t="n">
        <v>0.7673</v>
      </c>
      <c r="I229" s="2" t="n">
        <v>0.5362</v>
      </c>
      <c r="J229" s="2" t="n">
        <v>0.2318</v>
      </c>
    </row>
    <row r="230" customFormat="false" ht="15" hidden="false" customHeight="false" outlineLevel="0" collapsed="false">
      <c r="A230" s="2" t="s">
        <v>270</v>
      </c>
      <c r="B230" s="2" t="n">
        <v>660</v>
      </c>
      <c r="C230" s="2" t="s">
        <v>258</v>
      </c>
      <c r="D230" s="2" t="s">
        <v>42</v>
      </c>
      <c r="E230" s="2" t="n">
        <v>0.55</v>
      </c>
      <c r="F230" s="2" t="n">
        <v>0.9929</v>
      </c>
      <c r="G230" s="2" t="n">
        <v>0.6208</v>
      </c>
      <c r="H230" s="2" t="n">
        <v>0.9656</v>
      </c>
      <c r="I230" s="2" t="n">
        <v>0.7837</v>
      </c>
      <c r="J230" s="2" t="n">
        <v>0.4914</v>
      </c>
    </row>
    <row r="231" customFormat="false" ht="15" hidden="false" customHeight="false" outlineLevel="0" collapsed="false">
      <c r="A231" s="2" t="s">
        <v>271</v>
      </c>
      <c r="B231" s="2" t="n">
        <v>660</v>
      </c>
      <c r="C231" s="2" t="s">
        <v>258</v>
      </c>
      <c r="D231" s="2" t="s">
        <v>42</v>
      </c>
      <c r="E231" s="2" t="n">
        <v>0.8</v>
      </c>
      <c r="F231" s="2" t="n">
        <v>0.9929</v>
      </c>
      <c r="G231" s="2" t="n">
        <v>0.6218</v>
      </c>
      <c r="H231" s="2" t="n">
        <v>0.9656</v>
      </c>
      <c r="I231" s="2" t="n">
        <v>0.7836</v>
      </c>
      <c r="J231" s="2" t="n">
        <v>0.4924</v>
      </c>
    </row>
    <row r="232" customFormat="false" ht="15" hidden="false" customHeight="false" outlineLevel="0" collapsed="false">
      <c r="A232" s="2" t="s">
        <v>272</v>
      </c>
      <c r="B232" s="2" t="n">
        <v>660</v>
      </c>
      <c r="C232" s="2" t="s">
        <v>258</v>
      </c>
      <c r="D232" s="2" t="s">
        <v>42</v>
      </c>
      <c r="E232" s="2" t="n">
        <v>1</v>
      </c>
      <c r="F232" s="2" t="n">
        <v>0.9929</v>
      </c>
      <c r="G232" s="2" t="n">
        <v>0.6225</v>
      </c>
      <c r="H232" s="2" t="n">
        <v>0.9656</v>
      </c>
      <c r="I232" s="2" t="n">
        <v>0.7836</v>
      </c>
      <c r="J232" s="2" t="n">
        <v>0.4931</v>
      </c>
    </row>
    <row r="233" customFormat="false" ht="15" hidden="false" customHeight="false" outlineLevel="0" collapsed="false">
      <c r="A233" s="2" t="s">
        <v>273</v>
      </c>
      <c r="B233" s="2" t="n">
        <v>660</v>
      </c>
      <c r="C233" s="2" t="s">
        <v>258</v>
      </c>
      <c r="D233" s="2" t="s">
        <v>42</v>
      </c>
      <c r="E233" s="2" t="n">
        <v>1.3</v>
      </c>
      <c r="F233" s="2" t="n">
        <v>0.9929</v>
      </c>
      <c r="G233" s="2" t="n">
        <v>0.6236</v>
      </c>
      <c r="H233" s="2" t="n">
        <v>0.9658</v>
      </c>
      <c r="I233" s="2" t="n">
        <v>0.7837</v>
      </c>
      <c r="J233" s="2" t="n">
        <v>0.4944</v>
      </c>
    </row>
    <row r="234" customFormat="false" ht="15" hidden="false" customHeight="false" outlineLevel="0" collapsed="false">
      <c r="A234" s="2" t="s">
        <v>274</v>
      </c>
      <c r="B234" s="2" t="n">
        <v>660</v>
      </c>
      <c r="C234" s="2" t="s">
        <v>258</v>
      </c>
      <c r="D234" s="2" t="s">
        <v>42</v>
      </c>
      <c r="E234" s="2" t="n">
        <v>1.85</v>
      </c>
      <c r="F234" s="2" t="n">
        <v>0.9929</v>
      </c>
      <c r="G234" s="2" t="n">
        <v>0.6256</v>
      </c>
      <c r="H234" s="2" t="n">
        <v>0.9662</v>
      </c>
      <c r="I234" s="2" t="n">
        <v>0.784</v>
      </c>
      <c r="J234" s="2" t="n">
        <v>0.4974</v>
      </c>
    </row>
    <row r="235" customFormat="false" ht="15" hidden="false" customHeight="false" outlineLevel="0" collapsed="false">
      <c r="A235" s="2" t="s">
        <v>275</v>
      </c>
      <c r="B235" s="2" t="n">
        <v>660</v>
      </c>
      <c r="C235" s="2" t="s">
        <v>258</v>
      </c>
      <c r="D235" s="2" t="s">
        <v>42</v>
      </c>
      <c r="E235" s="2" t="n">
        <v>2.4</v>
      </c>
      <c r="F235" s="2" t="n">
        <v>0.9929</v>
      </c>
      <c r="G235" s="2" t="n">
        <v>0.6272</v>
      </c>
      <c r="H235" s="2" t="n">
        <v>0.9664</v>
      </c>
      <c r="I235" s="2" t="n">
        <v>0.7842</v>
      </c>
      <c r="J235" s="2" t="n">
        <v>0.5</v>
      </c>
    </row>
    <row r="236" customFormat="false" ht="15" hidden="false" customHeight="false" outlineLevel="0" collapsed="false">
      <c r="A236" s="2" t="s">
        <v>276</v>
      </c>
      <c r="B236" s="2" t="n">
        <v>640</v>
      </c>
      <c r="C236" s="2" t="s">
        <v>277</v>
      </c>
      <c r="D236" s="2" t="s">
        <v>28</v>
      </c>
      <c r="E236" s="2" t="n">
        <v>0.55</v>
      </c>
      <c r="F236" s="2" t="n">
        <v>0.6753</v>
      </c>
      <c r="G236" s="2" t="n">
        <v>0.3313</v>
      </c>
      <c r="H236" s="2" t="n">
        <v>0.557</v>
      </c>
      <c r="I236" s="2" t="n">
        <v>0.3806</v>
      </c>
      <c r="J236" s="2" t="n">
        <v>0.1336</v>
      </c>
    </row>
    <row r="237" customFormat="false" ht="15" hidden="false" customHeight="false" outlineLevel="0" collapsed="false">
      <c r="A237" s="2" t="s">
        <v>278</v>
      </c>
      <c r="B237" s="2" t="n">
        <v>640</v>
      </c>
      <c r="C237" s="2" t="s">
        <v>277</v>
      </c>
      <c r="D237" s="2" t="s">
        <v>28</v>
      </c>
      <c r="E237" s="2" t="n">
        <v>0.8</v>
      </c>
      <c r="F237" s="2" t="n">
        <v>0.7154</v>
      </c>
      <c r="G237" s="2" t="n">
        <v>0.3558</v>
      </c>
      <c r="H237" s="2" t="n">
        <v>0.6068</v>
      </c>
      <c r="I237" s="2" t="n">
        <v>0.4206</v>
      </c>
      <c r="J237" s="2" t="n">
        <v>0.1524</v>
      </c>
    </row>
    <row r="238" customFormat="false" ht="15" hidden="false" customHeight="false" outlineLevel="0" collapsed="false">
      <c r="A238" s="2" t="s">
        <v>279</v>
      </c>
      <c r="B238" s="2" t="n">
        <v>640</v>
      </c>
      <c r="C238" s="2" t="s">
        <v>277</v>
      </c>
      <c r="D238" s="2" t="s">
        <v>28</v>
      </c>
      <c r="E238" s="2" t="n">
        <v>1</v>
      </c>
      <c r="F238" s="2" t="n">
        <v>0.7408</v>
      </c>
      <c r="G238" s="2" t="n">
        <v>0.3695</v>
      </c>
      <c r="H238" s="2" t="n">
        <v>0.6355</v>
      </c>
      <c r="I238" s="2" t="n">
        <v>0.4449</v>
      </c>
      <c r="J238" s="2" t="n">
        <v>0.164</v>
      </c>
    </row>
    <row r="239" customFormat="false" ht="15" hidden="false" customHeight="false" outlineLevel="0" collapsed="false">
      <c r="A239" s="2" t="s">
        <v>280</v>
      </c>
      <c r="B239" s="2" t="n">
        <v>640</v>
      </c>
      <c r="C239" s="2" t="s">
        <v>277</v>
      </c>
      <c r="D239" s="2" t="s">
        <v>28</v>
      </c>
      <c r="E239" s="2" t="n">
        <v>1.3</v>
      </c>
      <c r="F239" s="2" t="n">
        <v>0.7755</v>
      </c>
      <c r="G239" s="2" t="n">
        <v>0.3874</v>
      </c>
      <c r="H239" s="2" t="n">
        <v>0.6753</v>
      </c>
      <c r="I239" s="2" t="n">
        <v>0.4792</v>
      </c>
      <c r="J239" s="2" t="n">
        <v>0.1789</v>
      </c>
    </row>
    <row r="240" customFormat="false" ht="15" hidden="false" customHeight="false" outlineLevel="0" collapsed="false">
      <c r="A240" s="2" t="s">
        <v>281</v>
      </c>
      <c r="B240" s="2" t="n">
        <v>640</v>
      </c>
      <c r="C240" s="2" t="s">
        <v>277</v>
      </c>
      <c r="D240" s="2" t="s">
        <v>28</v>
      </c>
      <c r="E240" s="2" t="n">
        <v>1.85</v>
      </c>
      <c r="F240" s="2" t="n">
        <v>0.8262</v>
      </c>
      <c r="G240" s="2" t="n">
        <v>0.4136</v>
      </c>
      <c r="H240" s="2" t="n">
        <v>0.731</v>
      </c>
      <c r="I240" s="2" t="n">
        <v>0.5277</v>
      </c>
      <c r="J240" s="2" t="n">
        <v>0.2019</v>
      </c>
    </row>
    <row r="241" customFormat="false" ht="15" hidden="false" customHeight="false" outlineLevel="0" collapsed="false">
      <c r="A241" s="2" t="s">
        <v>282</v>
      </c>
      <c r="B241" s="2" t="n">
        <v>640</v>
      </c>
      <c r="C241" s="2" t="s">
        <v>277</v>
      </c>
      <c r="D241" s="2" t="s">
        <v>28</v>
      </c>
      <c r="E241" s="2" t="n">
        <v>2.4</v>
      </c>
      <c r="F241" s="2" t="n">
        <v>0.8601</v>
      </c>
      <c r="G241" s="2" t="n">
        <v>0.4313</v>
      </c>
      <c r="H241" s="2" t="n">
        <v>0.7699</v>
      </c>
      <c r="I241" s="2" t="n">
        <v>0.5632</v>
      </c>
      <c r="J241" s="2" t="n">
        <v>0.22</v>
      </c>
    </row>
    <row r="242" customFormat="false" ht="15" hidden="false" customHeight="false" outlineLevel="0" collapsed="false">
      <c r="A242" s="2" t="s">
        <v>283</v>
      </c>
      <c r="B242" s="2" t="n">
        <v>640</v>
      </c>
      <c r="C242" s="2" t="s">
        <v>277</v>
      </c>
      <c r="D242" s="2" t="s">
        <v>35</v>
      </c>
      <c r="E242" s="2" t="n">
        <v>0.55</v>
      </c>
      <c r="F242" s="2" t="n">
        <v>0.6884</v>
      </c>
      <c r="G242" s="2" t="n">
        <v>0.3617</v>
      </c>
      <c r="H242" s="2" t="n">
        <v>0.5542</v>
      </c>
      <c r="I242" s="2" t="n">
        <v>0.3559</v>
      </c>
      <c r="J242" s="2" t="n">
        <v>0.1356</v>
      </c>
    </row>
    <row r="243" customFormat="false" ht="15" hidden="false" customHeight="false" outlineLevel="0" collapsed="false">
      <c r="A243" s="2" t="s">
        <v>284</v>
      </c>
      <c r="B243" s="2" t="n">
        <v>640</v>
      </c>
      <c r="C243" s="2" t="s">
        <v>277</v>
      </c>
      <c r="D243" s="2" t="s">
        <v>35</v>
      </c>
      <c r="E243" s="2" t="n">
        <v>0.8</v>
      </c>
      <c r="F243" s="2" t="n">
        <v>0.7272</v>
      </c>
      <c r="G243" s="2" t="n">
        <v>0.3875</v>
      </c>
      <c r="H243" s="2" t="n">
        <v>0.6051</v>
      </c>
      <c r="I243" s="2" t="n">
        <v>0.3967</v>
      </c>
      <c r="J243" s="2" t="n">
        <v>0.1568</v>
      </c>
    </row>
    <row r="244" customFormat="false" ht="15" hidden="false" customHeight="false" outlineLevel="0" collapsed="false">
      <c r="A244" s="2" t="s">
        <v>285</v>
      </c>
      <c r="B244" s="2" t="n">
        <v>640</v>
      </c>
      <c r="C244" s="2" t="s">
        <v>277</v>
      </c>
      <c r="D244" s="2" t="s">
        <v>35</v>
      </c>
      <c r="E244" s="2" t="n">
        <v>1</v>
      </c>
      <c r="F244" s="2" t="n">
        <v>0.7519</v>
      </c>
      <c r="G244" s="2" t="n">
        <v>0.4014</v>
      </c>
      <c r="H244" s="2" t="n">
        <v>0.6342</v>
      </c>
      <c r="I244" s="2" t="n">
        <v>0.4214</v>
      </c>
      <c r="J244" s="2" t="n">
        <v>0.1694</v>
      </c>
    </row>
    <row r="245" customFormat="false" ht="15" hidden="false" customHeight="false" outlineLevel="0" collapsed="false">
      <c r="A245" s="2" t="s">
        <v>286</v>
      </c>
      <c r="B245" s="2" t="n">
        <v>640</v>
      </c>
      <c r="C245" s="2" t="s">
        <v>277</v>
      </c>
      <c r="D245" s="2" t="s">
        <v>35</v>
      </c>
      <c r="E245" s="2" t="n">
        <v>1.3</v>
      </c>
      <c r="F245" s="2" t="n">
        <v>0.7862</v>
      </c>
      <c r="G245" s="2" t="n">
        <v>0.4201</v>
      </c>
      <c r="H245" s="2" t="n">
        <v>0.6748</v>
      </c>
      <c r="I245" s="2" t="n">
        <v>0.4562</v>
      </c>
      <c r="J245" s="2" t="n">
        <v>0.1857</v>
      </c>
    </row>
    <row r="246" customFormat="false" ht="15" hidden="false" customHeight="false" outlineLevel="0" collapsed="false">
      <c r="A246" s="2" t="s">
        <v>287</v>
      </c>
      <c r="B246" s="2" t="n">
        <v>640</v>
      </c>
      <c r="C246" s="2" t="s">
        <v>277</v>
      </c>
      <c r="D246" s="2" t="s">
        <v>35</v>
      </c>
      <c r="E246" s="2" t="n">
        <v>1.85</v>
      </c>
      <c r="F246" s="2" t="n">
        <v>0.8354</v>
      </c>
      <c r="G246" s="2" t="n">
        <v>0.4476</v>
      </c>
      <c r="H246" s="2" t="n">
        <v>0.7308</v>
      </c>
      <c r="I246" s="2" t="n">
        <v>0.5056</v>
      </c>
      <c r="J246" s="2" t="n">
        <v>0.2114</v>
      </c>
    </row>
    <row r="247" customFormat="false" ht="15" hidden="false" customHeight="false" outlineLevel="0" collapsed="false">
      <c r="A247" s="2" t="s">
        <v>288</v>
      </c>
      <c r="B247" s="2" t="n">
        <v>640</v>
      </c>
      <c r="C247" s="2" t="s">
        <v>277</v>
      </c>
      <c r="D247" s="2" t="s">
        <v>35</v>
      </c>
      <c r="E247" s="2" t="n">
        <v>2.4</v>
      </c>
      <c r="F247" s="2" t="n">
        <v>0.8686</v>
      </c>
      <c r="G247" s="2" t="n">
        <v>0.4656</v>
      </c>
      <c r="H247" s="2" t="n">
        <v>0.7694</v>
      </c>
      <c r="I247" s="2" t="n">
        <v>0.542</v>
      </c>
      <c r="J247" s="2" t="n">
        <v>0.2322</v>
      </c>
    </row>
    <row r="248" customFormat="false" ht="15" hidden="false" customHeight="false" outlineLevel="0" collapsed="false">
      <c r="A248" s="2" t="s">
        <v>289</v>
      </c>
      <c r="B248" s="2" t="n">
        <v>640</v>
      </c>
      <c r="C248" s="2" t="s">
        <v>277</v>
      </c>
      <c r="D248" s="2" t="s">
        <v>42</v>
      </c>
      <c r="E248" s="2" t="n">
        <v>0.55</v>
      </c>
      <c r="F248" s="2" t="n">
        <v>0.9918</v>
      </c>
      <c r="G248" s="2" t="n">
        <v>0.61</v>
      </c>
      <c r="H248" s="2" t="n">
        <v>0.9629</v>
      </c>
      <c r="I248" s="2" t="n">
        <v>0.7779</v>
      </c>
      <c r="J248" s="2" t="n">
        <v>0.4753</v>
      </c>
    </row>
    <row r="249" customFormat="false" ht="15" hidden="false" customHeight="false" outlineLevel="0" collapsed="false">
      <c r="A249" s="2" t="s">
        <v>290</v>
      </c>
      <c r="B249" s="2" t="n">
        <v>640</v>
      </c>
      <c r="C249" s="2" t="s">
        <v>277</v>
      </c>
      <c r="D249" s="2" t="s">
        <v>42</v>
      </c>
      <c r="E249" s="2" t="n">
        <v>0.8</v>
      </c>
      <c r="F249" s="2" t="n">
        <v>0.9918</v>
      </c>
      <c r="G249" s="2" t="n">
        <v>0.6108</v>
      </c>
      <c r="H249" s="2" t="n">
        <v>0.9629</v>
      </c>
      <c r="I249" s="2" t="n">
        <v>0.7779</v>
      </c>
      <c r="J249" s="2" t="n">
        <v>0.4761</v>
      </c>
    </row>
    <row r="250" customFormat="false" ht="15" hidden="false" customHeight="false" outlineLevel="0" collapsed="false">
      <c r="A250" s="2" t="s">
        <v>291</v>
      </c>
      <c r="B250" s="2" t="n">
        <v>640</v>
      </c>
      <c r="C250" s="2" t="s">
        <v>277</v>
      </c>
      <c r="D250" s="2" t="s">
        <v>42</v>
      </c>
      <c r="E250" s="2" t="n">
        <v>1</v>
      </c>
      <c r="F250" s="2" t="n">
        <v>0.9918</v>
      </c>
      <c r="G250" s="2" t="n">
        <v>0.6116</v>
      </c>
      <c r="H250" s="2" t="n">
        <v>0.9629</v>
      </c>
      <c r="I250" s="2" t="n">
        <v>0.7778</v>
      </c>
      <c r="J250" s="2" t="n">
        <v>0.4769</v>
      </c>
    </row>
    <row r="251" customFormat="false" ht="15" hidden="false" customHeight="false" outlineLevel="0" collapsed="false">
      <c r="A251" s="2" t="s">
        <v>292</v>
      </c>
      <c r="B251" s="2" t="n">
        <v>640</v>
      </c>
      <c r="C251" s="2" t="s">
        <v>277</v>
      </c>
      <c r="D251" s="2" t="s">
        <v>42</v>
      </c>
      <c r="E251" s="2" t="n">
        <v>1.3</v>
      </c>
      <c r="F251" s="2" t="n">
        <v>0.9918</v>
      </c>
      <c r="G251" s="2" t="n">
        <v>0.6129</v>
      </c>
      <c r="H251" s="2" t="n">
        <v>0.963</v>
      </c>
      <c r="I251" s="2" t="n">
        <v>0.7778</v>
      </c>
      <c r="J251" s="2" t="n">
        <v>0.4785</v>
      </c>
    </row>
    <row r="252" customFormat="false" ht="15" hidden="false" customHeight="false" outlineLevel="0" collapsed="false">
      <c r="A252" s="2" t="s">
        <v>293</v>
      </c>
      <c r="B252" s="2" t="n">
        <v>640</v>
      </c>
      <c r="C252" s="2" t="s">
        <v>277</v>
      </c>
      <c r="D252" s="2" t="s">
        <v>42</v>
      </c>
      <c r="E252" s="2" t="n">
        <v>1.85</v>
      </c>
      <c r="F252" s="2" t="n">
        <v>0.9918</v>
      </c>
      <c r="G252" s="2" t="n">
        <v>0.6149</v>
      </c>
      <c r="H252" s="2" t="n">
        <v>0.9634</v>
      </c>
      <c r="I252" s="2" t="n">
        <v>0.778</v>
      </c>
      <c r="J252" s="2" t="n">
        <v>0.4813</v>
      </c>
    </row>
    <row r="253" customFormat="false" ht="15" hidden="false" customHeight="false" outlineLevel="0" collapsed="false">
      <c r="A253" s="2" t="s">
        <v>294</v>
      </c>
      <c r="B253" s="2" t="n">
        <v>640</v>
      </c>
      <c r="C253" s="2" t="s">
        <v>277</v>
      </c>
      <c r="D253" s="2" t="s">
        <v>42</v>
      </c>
      <c r="E253" s="2" t="n">
        <v>2.4</v>
      </c>
      <c r="F253" s="2" t="n">
        <v>0.9918</v>
      </c>
      <c r="G253" s="2" t="n">
        <v>0.6166</v>
      </c>
      <c r="H253" s="2" t="n">
        <v>0.9637</v>
      </c>
      <c r="I253" s="2" t="n">
        <v>0.7785</v>
      </c>
      <c r="J253" s="2" t="n">
        <v>0.4841</v>
      </c>
    </row>
    <row r="254" customFormat="false" ht="15" hidden="false" customHeight="false" outlineLevel="0" collapsed="false">
      <c r="A254" s="2" t="s">
        <v>295</v>
      </c>
      <c r="B254" s="2" t="n">
        <v>620</v>
      </c>
      <c r="C254" s="2" t="s">
        <v>296</v>
      </c>
      <c r="D254" s="2" t="s">
        <v>28</v>
      </c>
      <c r="E254" s="2" t="n">
        <v>0.55</v>
      </c>
      <c r="F254" s="2" t="n">
        <v>0.668</v>
      </c>
      <c r="G254" s="2" t="n">
        <v>0.3206</v>
      </c>
      <c r="H254" s="2" t="n">
        <v>0.5499</v>
      </c>
      <c r="I254" s="2" t="n">
        <v>0.3787</v>
      </c>
      <c r="J254" s="2" t="n">
        <v>0.1289</v>
      </c>
    </row>
    <row r="255" customFormat="false" ht="15" hidden="false" customHeight="false" outlineLevel="0" collapsed="false">
      <c r="A255" s="2" t="s">
        <v>297</v>
      </c>
      <c r="B255" s="2" t="n">
        <v>620</v>
      </c>
      <c r="C255" s="2" t="s">
        <v>296</v>
      </c>
      <c r="D255" s="2" t="s">
        <v>28</v>
      </c>
      <c r="E255" s="2" t="n">
        <v>0.8</v>
      </c>
      <c r="F255" s="2" t="n">
        <v>0.7087</v>
      </c>
      <c r="G255" s="2" t="n">
        <v>0.3453</v>
      </c>
      <c r="H255" s="2" t="n">
        <v>0.5998</v>
      </c>
      <c r="I255" s="2" t="n">
        <v>0.4185</v>
      </c>
      <c r="J255" s="2" t="n">
        <v>0.1464</v>
      </c>
    </row>
    <row r="256" customFormat="false" ht="15" hidden="false" customHeight="false" outlineLevel="0" collapsed="false">
      <c r="A256" s="2" t="s">
        <v>298</v>
      </c>
      <c r="B256" s="2" t="n">
        <v>620</v>
      </c>
      <c r="C256" s="2" t="s">
        <v>296</v>
      </c>
      <c r="D256" s="2" t="s">
        <v>28</v>
      </c>
      <c r="E256" s="2" t="n">
        <v>1</v>
      </c>
      <c r="F256" s="2" t="n">
        <v>0.7335</v>
      </c>
      <c r="G256" s="2" t="n">
        <v>0.3595</v>
      </c>
      <c r="H256" s="2" t="n">
        <v>0.6294</v>
      </c>
      <c r="I256" s="2" t="n">
        <v>0.4428</v>
      </c>
      <c r="J256" s="2" t="n">
        <v>0.1577</v>
      </c>
    </row>
    <row r="257" customFormat="false" ht="15" hidden="false" customHeight="false" outlineLevel="0" collapsed="false">
      <c r="A257" s="2" t="s">
        <v>299</v>
      </c>
      <c r="B257" s="2" t="n">
        <v>620</v>
      </c>
      <c r="C257" s="2" t="s">
        <v>296</v>
      </c>
      <c r="D257" s="2" t="s">
        <v>28</v>
      </c>
      <c r="E257" s="2" t="n">
        <v>1.3</v>
      </c>
      <c r="F257" s="2" t="n">
        <v>0.7685</v>
      </c>
      <c r="G257" s="2" t="n">
        <v>0.3769</v>
      </c>
      <c r="H257" s="2" t="n">
        <v>0.6682</v>
      </c>
      <c r="I257" s="2" t="n">
        <v>0.4767</v>
      </c>
      <c r="J257" s="2" t="n">
        <v>0.1724</v>
      </c>
    </row>
    <row r="258" customFormat="false" ht="15" hidden="false" customHeight="false" outlineLevel="0" collapsed="false">
      <c r="A258" s="2" t="s">
        <v>300</v>
      </c>
      <c r="B258" s="2" t="n">
        <v>620</v>
      </c>
      <c r="C258" s="2" t="s">
        <v>296</v>
      </c>
      <c r="D258" s="2" t="s">
        <v>28</v>
      </c>
      <c r="E258" s="2" t="n">
        <v>1.85</v>
      </c>
      <c r="F258" s="2" t="n">
        <v>0.8209</v>
      </c>
      <c r="G258" s="2" t="n">
        <v>0.4043</v>
      </c>
      <c r="H258" s="2" t="n">
        <v>0.7254</v>
      </c>
      <c r="I258" s="2" t="n">
        <v>0.5275</v>
      </c>
      <c r="J258" s="2" t="n">
        <v>0.1965</v>
      </c>
    </row>
    <row r="259" customFormat="false" ht="15" hidden="false" customHeight="false" outlineLevel="0" collapsed="false">
      <c r="A259" s="2" t="s">
        <v>301</v>
      </c>
      <c r="B259" s="2" t="n">
        <v>620</v>
      </c>
      <c r="C259" s="2" t="s">
        <v>296</v>
      </c>
      <c r="D259" s="2" t="s">
        <v>28</v>
      </c>
      <c r="E259" s="2" t="n">
        <v>2.4</v>
      </c>
      <c r="F259" s="2" t="n">
        <v>0.8565</v>
      </c>
      <c r="G259" s="2" t="n">
        <v>0.4231</v>
      </c>
      <c r="H259" s="2" t="n">
        <v>0.7664</v>
      </c>
      <c r="I259" s="2" t="n">
        <v>0.5636</v>
      </c>
      <c r="J259" s="2" t="n">
        <v>0.2144</v>
      </c>
    </row>
    <row r="260" customFormat="false" ht="15" hidden="false" customHeight="false" outlineLevel="0" collapsed="false">
      <c r="A260" s="2" t="s">
        <v>302</v>
      </c>
      <c r="B260" s="2" t="n">
        <v>620</v>
      </c>
      <c r="C260" s="2" t="s">
        <v>296</v>
      </c>
      <c r="D260" s="2" t="s">
        <v>35</v>
      </c>
      <c r="E260" s="2" t="n">
        <v>0.55</v>
      </c>
      <c r="F260" s="2" t="n">
        <v>0.6812</v>
      </c>
      <c r="G260" s="2" t="n">
        <v>0.352</v>
      </c>
      <c r="H260" s="2" t="n">
        <v>0.5478</v>
      </c>
      <c r="I260" s="2" t="n">
        <v>0.3541</v>
      </c>
      <c r="J260" s="2" t="n">
        <v>0.1313</v>
      </c>
    </row>
    <row r="261" customFormat="false" ht="15" hidden="false" customHeight="false" outlineLevel="0" collapsed="false">
      <c r="A261" s="2" t="s">
        <v>303</v>
      </c>
      <c r="B261" s="2" t="n">
        <v>620</v>
      </c>
      <c r="C261" s="2" t="s">
        <v>296</v>
      </c>
      <c r="D261" s="2" t="s">
        <v>35</v>
      </c>
      <c r="E261" s="2" t="n">
        <v>0.8</v>
      </c>
      <c r="F261" s="2" t="n">
        <v>0.7212</v>
      </c>
      <c r="G261" s="2" t="n">
        <v>0.3779</v>
      </c>
      <c r="H261" s="2" t="n">
        <v>0.5993</v>
      </c>
      <c r="I261" s="2" t="n">
        <v>0.3948</v>
      </c>
      <c r="J261" s="2" t="n">
        <v>0.1509</v>
      </c>
    </row>
    <row r="262" customFormat="false" ht="15" hidden="false" customHeight="false" outlineLevel="0" collapsed="false">
      <c r="A262" s="2" t="s">
        <v>304</v>
      </c>
      <c r="B262" s="2" t="n">
        <v>620</v>
      </c>
      <c r="C262" s="2" t="s">
        <v>296</v>
      </c>
      <c r="D262" s="2" t="s">
        <v>35</v>
      </c>
      <c r="E262" s="2" t="n">
        <v>1</v>
      </c>
      <c r="F262" s="2" t="n">
        <v>0.7453</v>
      </c>
      <c r="G262" s="2" t="n">
        <v>0.3926</v>
      </c>
      <c r="H262" s="2" t="n">
        <v>0.629</v>
      </c>
      <c r="I262" s="2" t="n">
        <v>0.4194</v>
      </c>
      <c r="J262" s="2" t="n">
        <v>0.1637</v>
      </c>
    </row>
    <row r="263" customFormat="false" ht="15" hidden="false" customHeight="false" outlineLevel="0" collapsed="false">
      <c r="A263" s="2" t="s">
        <v>305</v>
      </c>
      <c r="B263" s="2" t="n">
        <v>620</v>
      </c>
      <c r="C263" s="2" t="s">
        <v>296</v>
      </c>
      <c r="D263" s="2" t="s">
        <v>35</v>
      </c>
      <c r="E263" s="2" t="n">
        <v>1.3</v>
      </c>
      <c r="F263" s="2" t="n">
        <v>0.7795</v>
      </c>
      <c r="G263" s="2" t="n">
        <v>0.411</v>
      </c>
      <c r="H263" s="2" t="n">
        <v>0.6684</v>
      </c>
      <c r="I263" s="2" t="n">
        <v>0.4537</v>
      </c>
      <c r="J263" s="2" t="n">
        <v>0.1803</v>
      </c>
    </row>
    <row r="264" customFormat="false" ht="15" hidden="false" customHeight="false" outlineLevel="0" collapsed="false">
      <c r="A264" s="2" t="s">
        <v>306</v>
      </c>
      <c r="B264" s="2" t="n">
        <v>620</v>
      </c>
      <c r="C264" s="2" t="s">
        <v>296</v>
      </c>
      <c r="D264" s="2" t="s">
        <v>35</v>
      </c>
      <c r="E264" s="2" t="n">
        <v>1.85</v>
      </c>
      <c r="F264" s="2" t="n">
        <v>0.8301</v>
      </c>
      <c r="G264" s="2" t="n">
        <v>0.4392</v>
      </c>
      <c r="H264" s="2" t="n">
        <v>0.7251</v>
      </c>
      <c r="I264" s="2" t="n">
        <v>0.505</v>
      </c>
      <c r="J264" s="2" t="n">
        <v>0.2073</v>
      </c>
    </row>
    <row r="265" customFormat="false" ht="15" hidden="false" customHeight="false" outlineLevel="0" collapsed="false">
      <c r="A265" s="2" t="s">
        <v>307</v>
      </c>
      <c r="B265" s="2" t="n">
        <v>620</v>
      </c>
      <c r="C265" s="2" t="s">
        <v>296</v>
      </c>
      <c r="D265" s="2" t="s">
        <v>35</v>
      </c>
      <c r="E265" s="2" t="n">
        <v>2.4</v>
      </c>
      <c r="F265" s="2" t="n">
        <v>0.865</v>
      </c>
      <c r="G265" s="2" t="n">
        <v>0.4584</v>
      </c>
      <c r="H265" s="2" t="n">
        <v>0.7663</v>
      </c>
      <c r="I265" s="2" t="n">
        <v>0.5416</v>
      </c>
      <c r="J265" s="2" t="n">
        <v>0.2274</v>
      </c>
    </row>
    <row r="266" customFormat="false" ht="15" hidden="false" customHeight="false" outlineLevel="0" collapsed="false">
      <c r="A266" s="2" t="s">
        <v>308</v>
      </c>
      <c r="B266" s="2" t="n">
        <v>620</v>
      </c>
      <c r="C266" s="2" t="s">
        <v>296</v>
      </c>
      <c r="D266" s="2" t="s">
        <v>42</v>
      </c>
      <c r="E266" s="2" t="n">
        <v>0.55</v>
      </c>
      <c r="F266" s="2" t="n">
        <v>0.9903</v>
      </c>
      <c r="G266" s="2" t="n">
        <v>0.5985</v>
      </c>
      <c r="H266" s="2" t="n">
        <v>0.9598</v>
      </c>
      <c r="I266" s="2" t="n">
        <v>0.7716</v>
      </c>
      <c r="J266" s="2" t="n">
        <v>0.4577</v>
      </c>
    </row>
    <row r="267" customFormat="false" ht="15" hidden="false" customHeight="false" outlineLevel="0" collapsed="false">
      <c r="A267" s="2" t="s">
        <v>309</v>
      </c>
      <c r="B267" s="2" t="n">
        <v>620</v>
      </c>
      <c r="C267" s="2" t="s">
        <v>296</v>
      </c>
      <c r="D267" s="2" t="s">
        <v>42</v>
      </c>
      <c r="E267" s="2" t="n">
        <v>0.8</v>
      </c>
      <c r="F267" s="2" t="n">
        <v>0.9903</v>
      </c>
      <c r="G267" s="2" t="n">
        <v>0.5993</v>
      </c>
      <c r="H267" s="2" t="n">
        <v>0.9598</v>
      </c>
      <c r="I267" s="2" t="n">
        <v>0.7716</v>
      </c>
      <c r="J267" s="2" t="n">
        <v>0.4585</v>
      </c>
    </row>
    <row r="268" customFormat="false" ht="15" hidden="false" customHeight="false" outlineLevel="0" collapsed="false">
      <c r="A268" s="2" t="s">
        <v>310</v>
      </c>
      <c r="B268" s="2" t="n">
        <v>620</v>
      </c>
      <c r="C268" s="2" t="s">
        <v>296</v>
      </c>
      <c r="D268" s="2" t="s">
        <v>42</v>
      </c>
      <c r="E268" s="2" t="n">
        <v>1</v>
      </c>
      <c r="F268" s="2" t="n">
        <v>0.9903</v>
      </c>
      <c r="G268" s="2" t="n">
        <v>0.5998</v>
      </c>
      <c r="H268" s="2" t="n">
        <v>0.9598</v>
      </c>
      <c r="I268" s="2" t="n">
        <v>0.7717</v>
      </c>
      <c r="J268" s="2" t="n">
        <v>0.4591</v>
      </c>
    </row>
    <row r="269" customFormat="false" ht="15" hidden="false" customHeight="false" outlineLevel="0" collapsed="false">
      <c r="A269" s="2" t="s">
        <v>311</v>
      </c>
      <c r="B269" s="2" t="n">
        <v>620</v>
      </c>
      <c r="C269" s="2" t="s">
        <v>296</v>
      </c>
      <c r="D269" s="2" t="s">
        <v>42</v>
      </c>
      <c r="E269" s="2" t="n">
        <v>1.3</v>
      </c>
      <c r="F269" s="2" t="n">
        <v>0.9903</v>
      </c>
      <c r="G269" s="2" t="n">
        <v>0.6008</v>
      </c>
      <c r="H269" s="2" t="n">
        <v>0.96</v>
      </c>
      <c r="I269" s="2" t="n">
        <v>0.7718</v>
      </c>
      <c r="J269" s="2" t="n">
        <v>0.4605</v>
      </c>
    </row>
    <row r="270" customFormat="false" ht="15" hidden="false" customHeight="false" outlineLevel="0" collapsed="false">
      <c r="A270" s="2" t="s">
        <v>312</v>
      </c>
      <c r="B270" s="2" t="n">
        <v>620</v>
      </c>
      <c r="C270" s="2" t="s">
        <v>296</v>
      </c>
      <c r="D270" s="2" t="s">
        <v>42</v>
      </c>
      <c r="E270" s="2" t="n">
        <v>1.85</v>
      </c>
      <c r="F270" s="2" t="n">
        <v>0.9903</v>
      </c>
      <c r="G270" s="2" t="n">
        <v>0.6028</v>
      </c>
      <c r="H270" s="2" t="n">
        <v>0.9603</v>
      </c>
      <c r="I270" s="2" t="n">
        <v>0.7723</v>
      </c>
      <c r="J270" s="2" t="n">
        <v>0.4632</v>
      </c>
    </row>
    <row r="271" customFormat="false" ht="15" hidden="false" customHeight="false" outlineLevel="0" collapsed="false">
      <c r="A271" s="2" t="s">
        <v>313</v>
      </c>
      <c r="B271" s="2" t="n">
        <v>620</v>
      </c>
      <c r="C271" s="2" t="s">
        <v>296</v>
      </c>
      <c r="D271" s="2" t="s">
        <v>42</v>
      </c>
      <c r="E271" s="2" t="n">
        <v>2.4</v>
      </c>
      <c r="F271" s="2" t="n">
        <v>0.9903</v>
      </c>
      <c r="G271" s="2" t="n">
        <v>0.6043</v>
      </c>
      <c r="H271" s="2" t="n">
        <v>0.9608</v>
      </c>
      <c r="I271" s="2" t="n">
        <v>0.7727</v>
      </c>
      <c r="J271" s="2" t="n">
        <v>0.4654</v>
      </c>
    </row>
    <row r="272" customFormat="false" ht="15" hidden="false" customHeight="false" outlineLevel="0" collapsed="false">
      <c r="A272" s="2" t="s">
        <v>314</v>
      </c>
      <c r="B272" s="2" t="n">
        <v>600</v>
      </c>
      <c r="C272" s="2" t="s">
        <v>315</v>
      </c>
      <c r="D272" s="2" t="s">
        <v>28</v>
      </c>
      <c r="E272" s="2" t="n">
        <v>0.55</v>
      </c>
      <c r="F272" s="2" t="n">
        <v>0.6577</v>
      </c>
      <c r="G272" s="2" t="n">
        <v>0.3107</v>
      </c>
      <c r="H272" s="2" t="n">
        <v>0.5388</v>
      </c>
      <c r="I272" s="2" t="n">
        <v>0.3725</v>
      </c>
      <c r="J272" s="2" t="n">
        <v>0.1238</v>
      </c>
    </row>
    <row r="273" customFormat="false" ht="15" hidden="false" customHeight="false" outlineLevel="0" collapsed="false">
      <c r="A273" s="2" t="s">
        <v>316</v>
      </c>
      <c r="B273" s="2" t="n">
        <v>600</v>
      </c>
      <c r="C273" s="2" t="s">
        <v>315</v>
      </c>
      <c r="D273" s="2" t="s">
        <v>28</v>
      </c>
      <c r="E273" s="2" t="n">
        <v>0.8</v>
      </c>
      <c r="F273" s="2" t="n">
        <v>0.7009</v>
      </c>
      <c r="G273" s="2" t="n">
        <v>0.3365</v>
      </c>
      <c r="H273" s="2" t="n">
        <v>0.5915</v>
      </c>
      <c r="I273" s="2" t="n">
        <v>0.4139</v>
      </c>
      <c r="J273" s="2" t="n">
        <v>0.1409</v>
      </c>
    </row>
    <row r="274" customFormat="false" ht="15" hidden="false" customHeight="false" outlineLevel="0" collapsed="false">
      <c r="A274" s="2" t="s">
        <v>317</v>
      </c>
      <c r="B274" s="2" t="n">
        <v>600</v>
      </c>
      <c r="C274" s="2" t="s">
        <v>315</v>
      </c>
      <c r="D274" s="2" t="s">
        <v>28</v>
      </c>
      <c r="E274" s="2" t="n">
        <v>1</v>
      </c>
      <c r="F274" s="2" t="n">
        <v>0.7281</v>
      </c>
      <c r="G274" s="2" t="n">
        <v>0.3514</v>
      </c>
      <c r="H274" s="2" t="n">
        <v>0.6227</v>
      </c>
      <c r="I274" s="2" t="n">
        <v>0.4404</v>
      </c>
      <c r="J274" s="2" t="n">
        <v>0.1527</v>
      </c>
    </row>
    <row r="275" customFormat="false" ht="15" hidden="false" customHeight="false" outlineLevel="0" collapsed="false">
      <c r="A275" s="2" t="s">
        <v>318</v>
      </c>
      <c r="B275" s="2" t="n">
        <v>600</v>
      </c>
      <c r="C275" s="2" t="s">
        <v>315</v>
      </c>
      <c r="D275" s="2" t="s">
        <v>28</v>
      </c>
      <c r="E275" s="2" t="n">
        <v>1.3</v>
      </c>
      <c r="F275" s="2" t="n">
        <v>0.7634</v>
      </c>
      <c r="G275" s="2" t="n">
        <v>0.3689</v>
      </c>
      <c r="H275" s="2" t="n">
        <v>0.662</v>
      </c>
      <c r="I275" s="2" t="n">
        <v>0.4746</v>
      </c>
      <c r="J275" s="2" t="n">
        <v>0.168</v>
      </c>
    </row>
    <row r="276" customFormat="false" ht="15" hidden="false" customHeight="false" outlineLevel="0" collapsed="false">
      <c r="A276" s="2" t="s">
        <v>319</v>
      </c>
      <c r="B276" s="2" t="n">
        <v>600</v>
      </c>
      <c r="C276" s="2" t="s">
        <v>315</v>
      </c>
      <c r="D276" s="2" t="s">
        <v>28</v>
      </c>
      <c r="E276" s="2" t="n">
        <v>1.85</v>
      </c>
      <c r="F276" s="2" t="n">
        <v>0.8159</v>
      </c>
      <c r="G276" s="2" t="n">
        <v>0.3957</v>
      </c>
      <c r="H276" s="2" t="n">
        <v>0.7195</v>
      </c>
      <c r="I276" s="2" t="n">
        <v>0.5245</v>
      </c>
      <c r="J276" s="2" t="n">
        <v>0.1905</v>
      </c>
    </row>
    <row r="277" customFormat="false" ht="15" hidden="false" customHeight="false" outlineLevel="0" collapsed="false">
      <c r="A277" s="2" t="s">
        <v>320</v>
      </c>
      <c r="B277" s="2" t="n">
        <v>600</v>
      </c>
      <c r="C277" s="2" t="s">
        <v>315</v>
      </c>
      <c r="D277" s="2" t="s">
        <v>28</v>
      </c>
      <c r="E277" s="2" t="n">
        <v>2.4</v>
      </c>
      <c r="F277" s="2" t="n">
        <v>0.8527</v>
      </c>
      <c r="G277" s="2" t="n">
        <v>0.4152</v>
      </c>
      <c r="H277" s="2" t="n">
        <v>0.7615</v>
      </c>
      <c r="I277" s="2" t="n">
        <v>0.5613</v>
      </c>
      <c r="J277" s="2" t="n">
        <v>0.2088</v>
      </c>
    </row>
    <row r="278" customFormat="false" ht="15" hidden="false" customHeight="false" outlineLevel="0" collapsed="false">
      <c r="A278" s="2" t="s">
        <v>321</v>
      </c>
      <c r="B278" s="2" t="n">
        <v>600</v>
      </c>
      <c r="C278" s="2" t="s">
        <v>315</v>
      </c>
      <c r="D278" s="2" t="s">
        <v>35</v>
      </c>
      <c r="E278" s="2" t="n">
        <v>0.55</v>
      </c>
      <c r="F278" s="2" t="n">
        <v>0.6718</v>
      </c>
      <c r="G278" s="2" t="n">
        <v>0.3423</v>
      </c>
      <c r="H278" s="2" t="n">
        <v>0.5369</v>
      </c>
      <c r="I278" s="2" t="n">
        <v>0.3482</v>
      </c>
      <c r="J278" s="2" t="n">
        <v>0.1265</v>
      </c>
    </row>
    <row r="279" customFormat="false" ht="15" hidden="false" customHeight="false" outlineLevel="0" collapsed="false">
      <c r="A279" s="2" t="s">
        <v>322</v>
      </c>
      <c r="B279" s="2" t="n">
        <v>600</v>
      </c>
      <c r="C279" s="2" t="s">
        <v>315</v>
      </c>
      <c r="D279" s="2" t="s">
        <v>35</v>
      </c>
      <c r="E279" s="2" t="n">
        <v>0.8</v>
      </c>
      <c r="F279" s="2" t="n">
        <v>0.7139</v>
      </c>
      <c r="G279" s="2" t="n">
        <v>0.3693</v>
      </c>
      <c r="H279" s="2" t="n">
        <v>0.591</v>
      </c>
      <c r="I279" s="2" t="n">
        <v>0.3905</v>
      </c>
      <c r="J279" s="2" t="n">
        <v>0.1461</v>
      </c>
    </row>
    <row r="280" customFormat="false" ht="15" hidden="false" customHeight="false" outlineLevel="0" collapsed="false">
      <c r="A280" s="2" t="s">
        <v>323</v>
      </c>
      <c r="B280" s="2" t="n">
        <v>600</v>
      </c>
      <c r="C280" s="2" t="s">
        <v>315</v>
      </c>
      <c r="D280" s="2" t="s">
        <v>35</v>
      </c>
      <c r="E280" s="2" t="n">
        <v>1</v>
      </c>
      <c r="F280" s="2" t="n">
        <v>0.7405</v>
      </c>
      <c r="G280" s="2" t="n">
        <v>0.3857</v>
      </c>
      <c r="H280" s="2" t="n">
        <v>0.6229</v>
      </c>
      <c r="I280" s="2" t="n">
        <v>0.4175</v>
      </c>
      <c r="J280" s="2" t="n">
        <v>0.1597</v>
      </c>
    </row>
    <row r="281" customFormat="false" ht="15" hidden="false" customHeight="false" outlineLevel="0" collapsed="false">
      <c r="A281" s="2" t="s">
        <v>324</v>
      </c>
      <c r="B281" s="2" t="n">
        <v>600</v>
      </c>
      <c r="C281" s="2" t="s">
        <v>315</v>
      </c>
      <c r="D281" s="2" t="s">
        <v>35</v>
      </c>
      <c r="E281" s="2" t="n">
        <v>1.3</v>
      </c>
      <c r="F281" s="2" t="n">
        <v>0.7748</v>
      </c>
      <c r="G281" s="2" t="n">
        <v>0.4041</v>
      </c>
      <c r="H281" s="2" t="n">
        <v>0.6624</v>
      </c>
      <c r="I281" s="2" t="n">
        <v>0.4515</v>
      </c>
      <c r="J281" s="2" t="n">
        <v>0.1766</v>
      </c>
    </row>
    <row r="282" customFormat="false" ht="15" hidden="false" customHeight="false" outlineLevel="0" collapsed="false">
      <c r="A282" s="2" t="s">
        <v>325</v>
      </c>
      <c r="B282" s="2" t="n">
        <v>600</v>
      </c>
      <c r="C282" s="2" t="s">
        <v>315</v>
      </c>
      <c r="D282" s="2" t="s">
        <v>35</v>
      </c>
      <c r="E282" s="2" t="n">
        <v>1.85</v>
      </c>
      <c r="F282" s="2" t="n">
        <v>0.8259</v>
      </c>
      <c r="G282" s="2" t="n">
        <v>0.4311</v>
      </c>
      <c r="H282" s="2" t="n">
        <v>0.7195</v>
      </c>
      <c r="I282" s="2" t="n">
        <v>0.503</v>
      </c>
      <c r="J282" s="2" t="n">
        <v>0.2023</v>
      </c>
    </row>
    <row r="283" customFormat="false" ht="15" hidden="false" customHeight="false" outlineLevel="0" collapsed="false">
      <c r="A283" s="2" t="s">
        <v>326</v>
      </c>
      <c r="B283" s="2" t="n">
        <v>600</v>
      </c>
      <c r="C283" s="2" t="s">
        <v>315</v>
      </c>
      <c r="D283" s="2" t="s">
        <v>35</v>
      </c>
      <c r="E283" s="2" t="n">
        <v>2.4</v>
      </c>
      <c r="F283" s="2" t="n">
        <v>0.8618</v>
      </c>
      <c r="G283" s="2" t="n">
        <v>0.4503</v>
      </c>
      <c r="H283" s="2" t="n">
        <v>0.7613</v>
      </c>
      <c r="I283" s="2" t="n">
        <v>0.5394</v>
      </c>
      <c r="J283" s="2" t="n">
        <v>0.2212</v>
      </c>
    </row>
    <row r="284" customFormat="false" ht="15" hidden="false" customHeight="false" outlineLevel="0" collapsed="false">
      <c r="A284" s="2" t="s">
        <v>327</v>
      </c>
      <c r="B284" s="2" t="n">
        <v>600</v>
      </c>
      <c r="C284" s="2" t="s">
        <v>315</v>
      </c>
      <c r="D284" s="2" t="s">
        <v>42</v>
      </c>
      <c r="E284" s="2" t="n">
        <v>0.55</v>
      </c>
      <c r="F284" s="2" t="n">
        <v>0.9888</v>
      </c>
      <c r="G284" s="2" t="n">
        <v>0.5866</v>
      </c>
      <c r="H284" s="2" t="n">
        <v>0.9559</v>
      </c>
      <c r="I284" s="2" t="n">
        <v>0.7667</v>
      </c>
      <c r="J284" s="2" t="n">
        <v>0.4402</v>
      </c>
    </row>
    <row r="285" customFormat="false" ht="15" hidden="false" customHeight="false" outlineLevel="0" collapsed="false">
      <c r="A285" s="2" t="s">
        <v>328</v>
      </c>
      <c r="B285" s="2" t="n">
        <v>600</v>
      </c>
      <c r="C285" s="2" t="s">
        <v>315</v>
      </c>
      <c r="D285" s="2" t="s">
        <v>42</v>
      </c>
      <c r="E285" s="2" t="n">
        <v>0.8</v>
      </c>
      <c r="F285" s="2" t="n">
        <v>0.9888</v>
      </c>
      <c r="G285" s="2" t="n">
        <v>0.587</v>
      </c>
      <c r="H285" s="2" t="n">
        <v>0.9559</v>
      </c>
      <c r="I285" s="2" t="n">
        <v>0.7668</v>
      </c>
      <c r="J285" s="2" t="n">
        <v>0.4408</v>
      </c>
    </row>
    <row r="286" customFormat="false" ht="15" hidden="false" customHeight="false" outlineLevel="0" collapsed="false">
      <c r="A286" s="2" t="s">
        <v>329</v>
      </c>
      <c r="B286" s="2" t="n">
        <v>600</v>
      </c>
      <c r="C286" s="2" t="s">
        <v>315</v>
      </c>
      <c r="D286" s="2" t="s">
        <v>42</v>
      </c>
      <c r="E286" s="2" t="n">
        <v>1</v>
      </c>
      <c r="F286" s="2" t="n">
        <v>0.9888</v>
      </c>
      <c r="G286" s="2" t="n">
        <v>0.5877</v>
      </c>
      <c r="H286" s="2" t="n">
        <v>0.9559</v>
      </c>
      <c r="I286" s="2" t="n">
        <v>0.7668</v>
      </c>
      <c r="J286" s="2" t="n">
        <v>0.4414</v>
      </c>
    </row>
    <row r="287" customFormat="false" ht="15" hidden="false" customHeight="false" outlineLevel="0" collapsed="false">
      <c r="A287" s="2" t="s">
        <v>330</v>
      </c>
      <c r="B287" s="2" t="n">
        <v>600</v>
      </c>
      <c r="C287" s="2" t="s">
        <v>315</v>
      </c>
      <c r="D287" s="2" t="s">
        <v>42</v>
      </c>
      <c r="E287" s="2" t="n">
        <v>1.3</v>
      </c>
      <c r="F287" s="2" t="n">
        <v>0.9888</v>
      </c>
      <c r="G287" s="2" t="n">
        <v>0.5886</v>
      </c>
      <c r="H287" s="2" t="n">
        <v>0.9561</v>
      </c>
      <c r="I287" s="2" t="n">
        <v>0.7669</v>
      </c>
      <c r="J287" s="2" t="n">
        <v>0.4426</v>
      </c>
    </row>
    <row r="288" customFormat="false" ht="15" hidden="false" customHeight="false" outlineLevel="0" collapsed="false">
      <c r="A288" s="2" t="s">
        <v>331</v>
      </c>
      <c r="B288" s="2" t="n">
        <v>600</v>
      </c>
      <c r="C288" s="2" t="s">
        <v>315</v>
      </c>
      <c r="D288" s="2" t="s">
        <v>42</v>
      </c>
      <c r="E288" s="2" t="n">
        <v>1.85</v>
      </c>
      <c r="F288" s="2" t="n">
        <v>0.9888</v>
      </c>
      <c r="G288" s="2" t="n">
        <v>0.5903</v>
      </c>
      <c r="H288" s="2" t="n">
        <v>0.9566</v>
      </c>
      <c r="I288" s="2" t="n">
        <v>0.7675</v>
      </c>
      <c r="J288" s="2" t="n">
        <v>0.4453</v>
      </c>
    </row>
    <row r="289" customFormat="false" ht="15" hidden="false" customHeight="false" outlineLevel="0" collapsed="false">
      <c r="A289" s="2" t="s">
        <v>332</v>
      </c>
      <c r="B289" s="2" t="n">
        <v>600</v>
      </c>
      <c r="C289" s="2" t="s">
        <v>315</v>
      </c>
      <c r="D289" s="2" t="s">
        <v>42</v>
      </c>
      <c r="E289" s="2" t="n">
        <v>2.4</v>
      </c>
      <c r="F289" s="2" t="n">
        <v>0.9888</v>
      </c>
      <c r="G289" s="2" t="n">
        <v>0.5919</v>
      </c>
      <c r="H289" s="2" t="n">
        <v>0.957</v>
      </c>
      <c r="I289" s="2" t="n">
        <v>0.7679</v>
      </c>
      <c r="J289" s="2" t="n">
        <v>0.4479</v>
      </c>
    </row>
    <row r="290" customFormat="false" ht="15" hidden="false" customHeight="false" outlineLevel="0" collapsed="false">
      <c r="A290" s="2" t="s">
        <v>333</v>
      </c>
      <c r="B290" s="2" t="n">
        <v>580</v>
      </c>
      <c r="C290" s="2" t="s">
        <v>334</v>
      </c>
      <c r="D290" s="2" t="s">
        <v>28</v>
      </c>
      <c r="E290" s="2" t="n">
        <v>0.55</v>
      </c>
      <c r="F290" s="2" t="n">
        <v>0.6483</v>
      </c>
      <c r="G290" s="2" t="n">
        <v>0.3004</v>
      </c>
      <c r="H290" s="2" t="n">
        <v>0.5305</v>
      </c>
      <c r="I290" s="2" t="n">
        <v>0.37</v>
      </c>
      <c r="J290" s="2" t="n">
        <v>0.1184</v>
      </c>
    </row>
    <row r="291" customFormat="false" ht="15" hidden="false" customHeight="false" outlineLevel="0" collapsed="false">
      <c r="A291" s="2" t="s">
        <v>335</v>
      </c>
      <c r="B291" s="2" t="n">
        <v>580</v>
      </c>
      <c r="C291" s="2" t="s">
        <v>334</v>
      </c>
      <c r="D291" s="2" t="s">
        <v>28</v>
      </c>
      <c r="E291" s="2" t="n">
        <v>0.8</v>
      </c>
      <c r="F291" s="2" t="n">
        <v>0.6928</v>
      </c>
      <c r="G291" s="2" t="n">
        <v>0.3255</v>
      </c>
      <c r="H291" s="2" t="n">
        <v>0.5828</v>
      </c>
      <c r="I291" s="2" t="n">
        <v>0.4111</v>
      </c>
      <c r="J291" s="2" t="n">
        <v>0.1346</v>
      </c>
    </row>
    <row r="292" customFormat="false" ht="15" hidden="false" customHeight="false" outlineLevel="0" collapsed="false">
      <c r="A292" s="2" t="s">
        <v>336</v>
      </c>
      <c r="B292" s="2" t="n">
        <v>580</v>
      </c>
      <c r="C292" s="2" t="s">
        <v>334</v>
      </c>
      <c r="D292" s="2" t="s">
        <v>28</v>
      </c>
      <c r="E292" s="2" t="n">
        <v>1</v>
      </c>
      <c r="F292" s="2" t="n">
        <v>0.7206</v>
      </c>
      <c r="G292" s="2" t="n">
        <v>0.3409</v>
      </c>
      <c r="H292" s="2" t="n">
        <v>0.615</v>
      </c>
      <c r="I292" s="2" t="n">
        <v>0.4375</v>
      </c>
      <c r="J292" s="2" t="n">
        <v>0.1458</v>
      </c>
    </row>
    <row r="293" customFormat="false" ht="15" hidden="false" customHeight="false" outlineLevel="0" collapsed="false">
      <c r="A293" s="2" t="s">
        <v>337</v>
      </c>
      <c r="B293" s="2" t="n">
        <v>580</v>
      </c>
      <c r="C293" s="2" t="s">
        <v>334</v>
      </c>
      <c r="D293" s="2" t="s">
        <v>28</v>
      </c>
      <c r="E293" s="2" t="n">
        <v>1.3</v>
      </c>
      <c r="F293" s="2" t="n">
        <v>0.7573</v>
      </c>
      <c r="G293" s="2" t="n">
        <v>0.3591</v>
      </c>
      <c r="H293" s="2" t="n">
        <v>0.6554</v>
      </c>
      <c r="I293" s="2" t="n">
        <v>0.4725</v>
      </c>
      <c r="J293" s="2" t="n">
        <v>0.161</v>
      </c>
    </row>
    <row r="294" customFormat="false" ht="15" hidden="false" customHeight="false" outlineLevel="0" collapsed="false">
      <c r="A294" s="2" t="s">
        <v>338</v>
      </c>
      <c r="B294" s="2" t="n">
        <v>580</v>
      </c>
      <c r="C294" s="2" t="s">
        <v>334</v>
      </c>
      <c r="D294" s="2" t="s">
        <v>28</v>
      </c>
      <c r="E294" s="2" t="n">
        <v>1.85</v>
      </c>
      <c r="F294" s="2" t="n">
        <v>0.8104</v>
      </c>
      <c r="G294" s="2" t="n">
        <v>0.3851</v>
      </c>
      <c r="H294" s="2" t="n">
        <v>0.7143</v>
      </c>
      <c r="I294" s="2" t="n">
        <v>0.5232</v>
      </c>
      <c r="J294" s="2" t="n">
        <v>0.1828</v>
      </c>
    </row>
    <row r="295" customFormat="false" ht="15" hidden="false" customHeight="false" outlineLevel="0" collapsed="false">
      <c r="A295" s="2" t="s">
        <v>339</v>
      </c>
      <c r="B295" s="2" t="n">
        <v>580</v>
      </c>
      <c r="C295" s="2" t="s">
        <v>334</v>
      </c>
      <c r="D295" s="2" t="s">
        <v>28</v>
      </c>
      <c r="E295" s="2" t="n">
        <v>2.4</v>
      </c>
      <c r="F295" s="2" t="n">
        <v>0.8483</v>
      </c>
      <c r="G295" s="2" t="n">
        <v>0.4053</v>
      </c>
      <c r="H295" s="2" t="n">
        <v>0.7572</v>
      </c>
      <c r="I295" s="2" t="n">
        <v>0.5599</v>
      </c>
      <c r="J295" s="2" t="n">
        <v>0.2005</v>
      </c>
    </row>
    <row r="296" customFormat="false" ht="15" hidden="false" customHeight="false" outlineLevel="0" collapsed="false">
      <c r="A296" s="2" t="s">
        <v>340</v>
      </c>
      <c r="B296" s="2" t="n">
        <v>580</v>
      </c>
      <c r="C296" s="2" t="s">
        <v>334</v>
      </c>
      <c r="D296" s="2" t="s">
        <v>35</v>
      </c>
      <c r="E296" s="2" t="n">
        <v>0.55</v>
      </c>
      <c r="F296" s="2" t="n">
        <v>0.6627</v>
      </c>
      <c r="G296" s="2" t="n">
        <v>0.3318</v>
      </c>
      <c r="H296" s="2" t="n">
        <v>0.5283</v>
      </c>
      <c r="I296" s="2" t="n">
        <v>0.3452</v>
      </c>
      <c r="J296" s="2" t="n">
        <v>0.1211</v>
      </c>
    </row>
    <row r="297" customFormat="false" ht="15" hidden="false" customHeight="false" outlineLevel="0" collapsed="false">
      <c r="A297" s="2" t="s">
        <v>341</v>
      </c>
      <c r="B297" s="2" t="n">
        <v>580</v>
      </c>
      <c r="C297" s="2" t="s">
        <v>334</v>
      </c>
      <c r="D297" s="2" t="s">
        <v>35</v>
      </c>
      <c r="E297" s="2" t="n">
        <v>0.8</v>
      </c>
      <c r="F297" s="2" t="n">
        <v>0.7063</v>
      </c>
      <c r="G297" s="2" t="n">
        <v>0.3584</v>
      </c>
      <c r="H297" s="2" t="n">
        <v>0.5823</v>
      </c>
      <c r="I297" s="2" t="n">
        <v>0.3877</v>
      </c>
      <c r="J297" s="2" t="n">
        <v>0.1397</v>
      </c>
    </row>
    <row r="298" customFormat="false" ht="15" hidden="false" customHeight="false" outlineLevel="0" collapsed="false">
      <c r="A298" s="2" t="s">
        <v>342</v>
      </c>
      <c r="B298" s="2" t="n">
        <v>580</v>
      </c>
      <c r="C298" s="2" t="s">
        <v>334</v>
      </c>
      <c r="D298" s="2" t="s">
        <v>35</v>
      </c>
      <c r="E298" s="2" t="n">
        <v>1</v>
      </c>
      <c r="F298" s="2" t="n">
        <v>0.7338</v>
      </c>
      <c r="G298" s="2" t="n">
        <v>0.3745</v>
      </c>
      <c r="H298" s="2" t="n">
        <v>0.6153</v>
      </c>
      <c r="I298" s="2" t="n">
        <v>0.4148</v>
      </c>
      <c r="J298" s="2" t="n">
        <v>0.1521</v>
      </c>
    </row>
    <row r="299" customFormat="false" ht="15" hidden="false" customHeight="false" outlineLevel="0" collapsed="false">
      <c r="A299" s="2" t="s">
        <v>343</v>
      </c>
      <c r="B299" s="2" t="n">
        <v>580</v>
      </c>
      <c r="C299" s="2" t="s">
        <v>334</v>
      </c>
      <c r="D299" s="2" t="s">
        <v>35</v>
      </c>
      <c r="E299" s="2" t="n">
        <v>1.3</v>
      </c>
      <c r="F299" s="2" t="n">
        <v>0.769</v>
      </c>
      <c r="G299" s="2" t="n">
        <v>0.3929</v>
      </c>
      <c r="H299" s="2" t="n">
        <v>0.6553</v>
      </c>
      <c r="I299" s="2" t="n">
        <v>0.4496</v>
      </c>
      <c r="J299" s="2" t="n">
        <v>0.1687</v>
      </c>
    </row>
    <row r="300" customFormat="false" ht="15" hidden="false" customHeight="false" outlineLevel="0" collapsed="false">
      <c r="A300" s="2" t="s">
        <v>344</v>
      </c>
      <c r="B300" s="2" t="n">
        <v>580</v>
      </c>
      <c r="C300" s="2" t="s">
        <v>334</v>
      </c>
      <c r="D300" s="2" t="s">
        <v>35</v>
      </c>
      <c r="E300" s="2" t="n">
        <v>1.85</v>
      </c>
      <c r="F300" s="2" t="n">
        <v>0.8207</v>
      </c>
      <c r="G300" s="2" t="n">
        <v>0.4198</v>
      </c>
      <c r="H300" s="2" t="n">
        <v>0.7142</v>
      </c>
      <c r="I300" s="2" t="n">
        <v>0.5016</v>
      </c>
      <c r="J300" s="2" t="n">
        <v>0.1937</v>
      </c>
    </row>
    <row r="301" customFormat="false" ht="15" hidden="false" customHeight="false" outlineLevel="0" collapsed="false">
      <c r="A301" s="2" t="s">
        <v>345</v>
      </c>
      <c r="B301" s="2" t="n">
        <v>580</v>
      </c>
      <c r="C301" s="2" t="s">
        <v>334</v>
      </c>
      <c r="D301" s="2" t="s">
        <v>35</v>
      </c>
      <c r="E301" s="2" t="n">
        <v>2.4</v>
      </c>
      <c r="F301" s="2" t="n">
        <v>0.8575</v>
      </c>
      <c r="G301" s="2" t="n">
        <v>0.4403</v>
      </c>
      <c r="H301" s="2" t="n">
        <v>0.7574</v>
      </c>
      <c r="I301" s="2" t="n">
        <v>0.5386</v>
      </c>
      <c r="J301" s="2" t="n">
        <v>0.2124</v>
      </c>
    </row>
    <row r="302" customFormat="false" ht="15" hidden="false" customHeight="false" outlineLevel="0" collapsed="false">
      <c r="A302" s="2" t="s">
        <v>346</v>
      </c>
      <c r="B302" s="2" t="n">
        <v>580</v>
      </c>
      <c r="C302" s="2" t="s">
        <v>334</v>
      </c>
      <c r="D302" s="2" t="s">
        <v>42</v>
      </c>
      <c r="E302" s="2" t="n">
        <v>0.55</v>
      </c>
      <c r="F302" s="2" t="n">
        <v>0.9872</v>
      </c>
      <c r="G302" s="2" t="n">
        <v>0.5724</v>
      </c>
      <c r="H302" s="2" t="n">
        <v>0.9513</v>
      </c>
      <c r="I302" s="2" t="n">
        <v>0.7628</v>
      </c>
      <c r="J302" s="2" t="n">
        <v>0.4217</v>
      </c>
    </row>
    <row r="303" customFormat="false" ht="15" hidden="false" customHeight="false" outlineLevel="0" collapsed="false">
      <c r="A303" s="2" t="s">
        <v>347</v>
      </c>
      <c r="B303" s="2" t="n">
        <v>580</v>
      </c>
      <c r="C303" s="2" t="s">
        <v>334</v>
      </c>
      <c r="D303" s="2" t="s">
        <v>42</v>
      </c>
      <c r="E303" s="2" t="n">
        <v>0.8</v>
      </c>
      <c r="F303" s="2" t="n">
        <v>0.9872</v>
      </c>
      <c r="G303" s="2" t="n">
        <v>0.5729</v>
      </c>
      <c r="H303" s="2" t="n">
        <v>0.9513</v>
      </c>
      <c r="I303" s="2" t="n">
        <v>0.7629</v>
      </c>
      <c r="J303" s="2" t="n">
        <v>0.4222</v>
      </c>
    </row>
    <row r="304" customFormat="false" ht="15" hidden="false" customHeight="false" outlineLevel="0" collapsed="false">
      <c r="A304" s="2" t="s">
        <v>348</v>
      </c>
      <c r="B304" s="2" t="n">
        <v>580</v>
      </c>
      <c r="C304" s="2" t="s">
        <v>334</v>
      </c>
      <c r="D304" s="2" t="s">
        <v>42</v>
      </c>
      <c r="E304" s="2" t="n">
        <v>1</v>
      </c>
      <c r="F304" s="2" t="n">
        <v>0.9872</v>
      </c>
      <c r="G304" s="2" t="n">
        <v>0.5734</v>
      </c>
      <c r="H304" s="2" t="n">
        <v>0.9513</v>
      </c>
      <c r="I304" s="2" t="n">
        <v>0.7629</v>
      </c>
      <c r="J304" s="2" t="n">
        <v>0.4227</v>
      </c>
    </row>
    <row r="305" customFormat="false" ht="15" hidden="false" customHeight="false" outlineLevel="0" collapsed="false">
      <c r="A305" s="2" t="s">
        <v>349</v>
      </c>
      <c r="B305" s="2" t="n">
        <v>580</v>
      </c>
      <c r="C305" s="2" t="s">
        <v>334</v>
      </c>
      <c r="D305" s="2" t="s">
        <v>42</v>
      </c>
      <c r="E305" s="2" t="n">
        <v>1.3</v>
      </c>
      <c r="F305" s="2" t="n">
        <v>0.9872</v>
      </c>
      <c r="G305" s="2" t="n">
        <v>0.574</v>
      </c>
      <c r="H305" s="2" t="n">
        <v>0.9515</v>
      </c>
      <c r="I305" s="2" t="n">
        <v>0.7629</v>
      </c>
      <c r="J305" s="2" t="n">
        <v>0.4234</v>
      </c>
    </row>
    <row r="306" customFormat="false" ht="15" hidden="false" customHeight="false" outlineLevel="0" collapsed="false">
      <c r="A306" s="2" t="s">
        <v>350</v>
      </c>
      <c r="B306" s="2" t="n">
        <v>580</v>
      </c>
      <c r="C306" s="2" t="s">
        <v>334</v>
      </c>
      <c r="D306" s="2" t="s">
        <v>42</v>
      </c>
      <c r="E306" s="2" t="n">
        <v>1.85</v>
      </c>
      <c r="F306" s="2" t="n">
        <v>0.9872</v>
      </c>
      <c r="G306" s="2" t="n">
        <v>0.5754</v>
      </c>
      <c r="H306" s="2" t="n">
        <v>0.9519</v>
      </c>
      <c r="I306" s="2" t="n">
        <v>0.7635</v>
      </c>
      <c r="J306" s="2" t="n">
        <v>0.4257</v>
      </c>
    </row>
    <row r="307" customFormat="false" ht="15" hidden="false" customHeight="false" outlineLevel="0" collapsed="false">
      <c r="A307" s="2" t="s">
        <v>351</v>
      </c>
      <c r="B307" s="2" t="n">
        <v>580</v>
      </c>
      <c r="C307" s="2" t="s">
        <v>334</v>
      </c>
      <c r="D307" s="2" t="s">
        <v>42</v>
      </c>
      <c r="E307" s="2" t="n">
        <v>2.4</v>
      </c>
      <c r="F307" s="2" t="n">
        <v>0.9872</v>
      </c>
      <c r="G307" s="2" t="n">
        <v>0.5769</v>
      </c>
      <c r="H307" s="2" t="n">
        <v>0.9526</v>
      </c>
      <c r="I307" s="2" t="n">
        <v>0.7639</v>
      </c>
      <c r="J307" s="2" t="n">
        <v>0.4281</v>
      </c>
    </row>
    <row r="308" customFormat="false" ht="15" hidden="false" customHeight="false" outlineLevel="0" collapsed="false">
      <c r="A308" s="2" t="s">
        <v>352</v>
      </c>
      <c r="B308" s="2" t="n">
        <v>560</v>
      </c>
      <c r="C308" s="2" t="s">
        <v>353</v>
      </c>
      <c r="D308" s="2" t="s">
        <v>28</v>
      </c>
      <c r="E308" s="2" t="n">
        <v>0.55</v>
      </c>
      <c r="F308" s="2" t="n">
        <v>0.6394</v>
      </c>
      <c r="G308" s="2" t="n">
        <v>0.2901</v>
      </c>
      <c r="H308" s="2" t="n">
        <v>0.5207</v>
      </c>
      <c r="I308" s="2" t="n">
        <v>0.3642</v>
      </c>
      <c r="J308" s="2" t="n">
        <v>0.1123</v>
      </c>
    </row>
    <row r="309" customFormat="false" ht="15" hidden="false" customHeight="false" outlineLevel="0" collapsed="false">
      <c r="A309" s="2" t="s">
        <v>354</v>
      </c>
      <c r="B309" s="2" t="n">
        <v>560</v>
      </c>
      <c r="C309" s="2" t="s">
        <v>353</v>
      </c>
      <c r="D309" s="2" t="s">
        <v>28</v>
      </c>
      <c r="E309" s="2" t="n">
        <v>0.8</v>
      </c>
      <c r="F309" s="2" t="n">
        <v>0.6822</v>
      </c>
      <c r="G309" s="2" t="n">
        <v>0.3162</v>
      </c>
      <c r="H309" s="2" t="n">
        <v>0.5725</v>
      </c>
      <c r="I309" s="2" t="n">
        <v>0.4051</v>
      </c>
      <c r="J309" s="2" t="n">
        <v>0.1303</v>
      </c>
    </row>
    <row r="310" customFormat="false" ht="15" hidden="false" customHeight="false" outlineLevel="0" collapsed="false">
      <c r="A310" s="2" t="s">
        <v>355</v>
      </c>
      <c r="B310" s="2" t="n">
        <v>560</v>
      </c>
      <c r="C310" s="2" t="s">
        <v>353</v>
      </c>
      <c r="D310" s="2" t="s">
        <v>28</v>
      </c>
      <c r="E310" s="2" t="n">
        <v>1</v>
      </c>
      <c r="F310" s="2" t="n">
        <v>0.7117</v>
      </c>
      <c r="G310" s="2" t="n">
        <v>0.3312</v>
      </c>
      <c r="H310" s="2" t="n">
        <v>0.6066</v>
      </c>
      <c r="I310" s="2" t="n">
        <v>0.4336</v>
      </c>
      <c r="J310" s="2" t="n">
        <v>0.1413</v>
      </c>
    </row>
    <row r="311" customFormat="false" ht="15" hidden="false" customHeight="false" outlineLevel="0" collapsed="false">
      <c r="A311" s="2" t="s">
        <v>356</v>
      </c>
      <c r="B311" s="2" t="n">
        <v>560</v>
      </c>
      <c r="C311" s="2" t="s">
        <v>353</v>
      </c>
      <c r="D311" s="2" t="s">
        <v>28</v>
      </c>
      <c r="E311" s="2" t="n">
        <v>1.3</v>
      </c>
      <c r="F311" s="2" t="n">
        <v>0.7509</v>
      </c>
      <c r="G311" s="2" t="n">
        <v>0.3493</v>
      </c>
      <c r="H311" s="2" t="n">
        <v>0.6491</v>
      </c>
      <c r="I311" s="2" t="n">
        <v>0.4706</v>
      </c>
      <c r="J311" s="2" t="n">
        <v>0.1561</v>
      </c>
    </row>
    <row r="312" customFormat="false" ht="15" hidden="false" customHeight="false" outlineLevel="0" collapsed="false">
      <c r="A312" s="2" t="s">
        <v>357</v>
      </c>
      <c r="B312" s="2" t="n">
        <v>560</v>
      </c>
      <c r="C312" s="2" t="s">
        <v>353</v>
      </c>
      <c r="D312" s="2" t="s">
        <v>28</v>
      </c>
      <c r="E312" s="2" t="n">
        <v>1.85</v>
      </c>
      <c r="F312" s="2" t="n">
        <v>0.806</v>
      </c>
      <c r="G312" s="2" t="n">
        <v>0.3759</v>
      </c>
      <c r="H312" s="2" t="n">
        <v>0.7095</v>
      </c>
      <c r="I312" s="2" t="n">
        <v>0.5227</v>
      </c>
      <c r="J312" s="2" t="n">
        <v>0.1777</v>
      </c>
    </row>
    <row r="313" customFormat="false" ht="15" hidden="false" customHeight="false" outlineLevel="0" collapsed="false">
      <c r="A313" s="2" t="s">
        <v>358</v>
      </c>
      <c r="B313" s="2" t="n">
        <v>560</v>
      </c>
      <c r="C313" s="2" t="s">
        <v>353</v>
      </c>
      <c r="D313" s="2" t="s">
        <v>28</v>
      </c>
      <c r="E313" s="2" t="n">
        <v>2.4</v>
      </c>
      <c r="F313" s="2" t="n">
        <v>0.8426</v>
      </c>
      <c r="G313" s="2" t="n">
        <v>0.395</v>
      </c>
      <c r="H313" s="2" t="n">
        <v>0.7501</v>
      </c>
      <c r="I313" s="2" t="n">
        <v>0.5582</v>
      </c>
      <c r="J313" s="2" t="n">
        <v>0.1945</v>
      </c>
    </row>
    <row r="314" customFormat="false" ht="15" hidden="false" customHeight="false" outlineLevel="0" collapsed="false">
      <c r="A314" s="2" t="s">
        <v>359</v>
      </c>
      <c r="B314" s="2" t="n">
        <v>560</v>
      </c>
      <c r="C314" s="2" t="s">
        <v>353</v>
      </c>
      <c r="D314" s="2" t="s">
        <v>35</v>
      </c>
      <c r="E314" s="2" t="n">
        <v>0.55</v>
      </c>
      <c r="F314" s="2" t="n">
        <v>0.6569</v>
      </c>
      <c r="G314" s="2" t="n">
        <v>0.3234</v>
      </c>
      <c r="H314" s="2" t="n">
        <v>0.5218</v>
      </c>
      <c r="I314" s="2" t="n">
        <v>0.3431</v>
      </c>
      <c r="J314" s="2" t="n">
        <v>0.1172</v>
      </c>
    </row>
    <row r="315" customFormat="false" ht="15" hidden="false" customHeight="false" outlineLevel="0" collapsed="false">
      <c r="A315" s="2" t="s">
        <v>360</v>
      </c>
      <c r="B315" s="2" t="n">
        <v>560</v>
      </c>
      <c r="C315" s="2" t="s">
        <v>353</v>
      </c>
      <c r="D315" s="2" t="s">
        <v>35</v>
      </c>
      <c r="E315" s="2" t="n">
        <v>0.8</v>
      </c>
      <c r="F315" s="2" t="n">
        <v>0.6996</v>
      </c>
      <c r="G315" s="2" t="n">
        <v>0.3517</v>
      </c>
      <c r="H315" s="2" t="n">
        <v>0.5763</v>
      </c>
      <c r="I315" s="2" t="n">
        <v>0.3857</v>
      </c>
      <c r="J315" s="2" t="n">
        <v>0.1378</v>
      </c>
    </row>
    <row r="316" customFormat="false" ht="15" hidden="false" customHeight="false" outlineLevel="0" collapsed="false">
      <c r="A316" s="2" t="s">
        <v>361</v>
      </c>
      <c r="B316" s="2" t="n">
        <v>560</v>
      </c>
      <c r="C316" s="2" t="s">
        <v>353</v>
      </c>
      <c r="D316" s="2" t="s">
        <v>35</v>
      </c>
      <c r="E316" s="2" t="n">
        <v>1</v>
      </c>
      <c r="F316" s="2" t="n">
        <v>0.7292</v>
      </c>
      <c r="G316" s="2" t="n">
        <v>0.368</v>
      </c>
      <c r="H316" s="2" t="n">
        <v>0.6116</v>
      </c>
      <c r="I316" s="2" t="n">
        <v>0.415</v>
      </c>
      <c r="J316" s="2" t="n">
        <v>0.1508</v>
      </c>
    </row>
    <row r="317" customFormat="false" ht="15" hidden="false" customHeight="false" outlineLevel="0" collapsed="false">
      <c r="A317" s="2" t="s">
        <v>362</v>
      </c>
      <c r="B317" s="2" t="n">
        <v>560</v>
      </c>
      <c r="C317" s="2" t="s">
        <v>353</v>
      </c>
      <c r="D317" s="2" t="s">
        <v>35</v>
      </c>
      <c r="E317" s="2" t="n">
        <v>1.3</v>
      </c>
      <c r="F317" s="2" t="n">
        <v>0.768</v>
      </c>
      <c r="G317" s="2" t="n">
        <v>0.387</v>
      </c>
      <c r="H317" s="2" t="n">
        <v>0.6549</v>
      </c>
      <c r="I317" s="2" t="n">
        <v>0.4532</v>
      </c>
      <c r="J317" s="2" t="n">
        <v>0.1682</v>
      </c>
    </row>
    <row r="318" customFormat="false" ht="15" hidden="false" customHeight="false" outlineLevel="0" collapsed="false">
      <c r="A318" s="2" t="s">
        <v>363</v>
      </c>
      <c r="B318" s="2" t="n">
        <v>560</v>
      </c>
      <c r="C318" s="2" t="s">
        <v>353</v>
      </c>
      <c r="D318" s="2" t="s">
        <v>35</v>
      </c>
      <c r="E318" s="2" t="n">
        <v>1.85</v>
      </c>
      <c r="F318" s="2" t="n">
        <v>0.8206</v>
      </c>
      <c r="G318" s="2" t="n">
        <v>0.4151</v>
      </c>
      <c r="H318" s="2" t="n">
        <v>0.7147</v>
      </c>
      <c r="I318" s="2" t="n">
        <v>0.506</v>
      </c>
      <c r="J318" s="2" t="n">
        <v>0.1939</v>
      </c>
    </row>
    <row r="319" customFormat="false" ht="15" hidden="false" customHeight="false" outlineLevel="0" collapsed="false">
      <c r="A319" s="2" t="s">
        <v>364</v>
      </c>
      <c r="B319" s="2" t="n">
        <v>560</v>
      </c>
      <c r="C319" s="2" t="s">
        <v>353</v>
      </c>
      <c r="D319" s="2" t="s">
        <v>35</v>
      </c>
      <c r="E319" s="2" t="n">
        <v>2.4</v>
      </c>
      <c r="F319" s="2" t="n">
        <v>0.856</v>
      </c>
      <c r="G319" s="2" t="n">
        <v>0.4354</v>
      </c>
      <c r="H319" s="2" t="n">
        <v>0.7559</v>
      </c>
      <c r="I319" s="2" t="n">
        <v>0.5423</v>
      </c>
      <c r="J319" s="2" t="n">
        <v>0.2137</v>
      </c>
    </row>
    <row r="320" customFormat="false" ht="15" hidden="false" customHeight="false" outlineLevel="0" collapsed="false">
      <c r="A320" s="2" t="s">
        <v>365</v>
      </c>
      <c r="B320" s="2" t="n">
        <v>560</v>
      </c>
      <c r="C320" s="2" t="s">
        <v>353</v>
      </c>
      <c r="D320" s="2" t="s">
        <v>42</v>
      </c>
      <c r="E320" s="2" t="n">
        <v>0.55</v>
      </c>
      <c r="F320" s="2" t="n">
        <v>0.985</v>
      </c>
      <c r="G320" s="2" t="n">
        <v>0.5584</v>
      </c>
      <c r="H320" s="2" t="n">
        <v>0.9464</v>
      </c>
      <c r="I320" s="2" t="n">
        <v>0.7571</v>
      </c>
      <c r="J320" s="2" t="n">
        <v>0.4022</v>
      </c>
    </row>
    <row r="321" customFormat="false" ht="15" hidden="false" customHeight="false" outlineLevel="0" collapsed="false">
      <c r="A321" s="2" t="s">
        <v>366</v>
      </c>
      <c r="B321" s="2" t="n">
        <v>560</v>
      </c>
      <c r="C321" s="2" t="s">
        <v>353</v>
      </c>
      <c r="D321" s="2" t="s">
        <v>42</v>
      </c>
      <c r="E321" s="2" t="n">
        <v>0.8</v>
      </c>
      <c r="F321" s="2" t="n">
        <v>0.985</v>
      </c>
      <c r="G321" s="2" t="n">
        <v>0.5587</v>
      </c>
      <c r="H321" s="2" t="n">
        <v>0.9464</v>
      </c>
      <c r="I321" s="2" t="n">
        <v>0.7571</v>
      </c>
      <c r="J321" s="2" t="n">
        <v>0.4025</v>
      </c>
    </row>
    <row r="322" customFormat="false" ht="15" hidden="false" customHeight="false" outlineLevel="0" collapsed="false">
      <c r="A322" s="2" t="s">
        <v>367</v>
      </c>
      <c r="B322" s="2" t="n">
        <v>560</v>
      </c>
      <c r="C322" s="2" t="s">
        <v>353</v>
      </c>
      <c r="D322" s="2" t="s">
        <v>42</v>
      </c>
      <c r="E322" s="2" t="n">
        <v>1</v>
      </c>
      <c r="F322" s="2" t="n">
        <v>0.985</v>
      </c>
      <c r="G322" s="2" t="n">
        <v>0.5592</v>
      </c>
      <c r="H322" s="2" t="n">
        <v>0.9464</v>
      </c>
      <c r="I322" s="2" t="n">
        <v>0.757</v>
      </c>
      <c r="J322" s="2" t="n">
        <v>0.4029</v>
      </c>
    </row>
    <row r="323" customFormat="false" ht="15" hidden="false" customHeight="false" outlineLevel="0" collapsed="false">
      <c r="A323" s="2" t="s">
        <v>368</v>
      </c>
      <c r="B323" s="2" t="n">
        <v>560</v>
      </c>
      <c r="C323" s="2" t="s">
        <v>353</v>
      </c>
      <c r="D323" s="2" t="s">
        <v>42</v>
      </c>
      <c r="E323" s="2" t="n">
        <v>1.3</v>
      </c>
      <c r="F323" s="2" t="n">
        <v>0.985</v>
      </c>
      <c r="G323" s="2" t="n">
        <v>0.5596</v>
      </c>
      <c r="H323" s="2" t="n">
        <v>0.9467</v>
      </c>
      <c r="I323" s="2" t="n">
        <v>0.7571</v>
      </c>
      <c r="J323" s="2" t="n">
        <v>0.4034</v>
      </c>
    </row>
    <row r="324" customFormat="false" ht="15" hidden="false" customHeight="false" outlineLevel="0" collapsed="false">
      <c r="A324" s="2" t="s">
        <v>369</v>
      </c>
      <c r="B324" s="2" t="n">
        <v>560</v>
      </c>
      <c r="C324" s="2" t="s">
        <v>353</v>
      </c>
      <c r="D324" s="2" t="s">
        <v>42</v>
      </c>
      <c r="E324" s="2" t="n">
        <v>1.85</v>
      </c>
      <c r="F324" s="2" t="n">
        <v>0.985</v>
      </c>
      <c r="G324" s="2" t="n">
        <v>0.561</v>
      </c>
      <c r="H324" s="2" t="n">
        <v>0.9471</v>
      </c>
      <c r="I324" s="2" t="n">
        <v>0.7578</v>
      </c>
      <c r="J324" s="2" t="n">
        <v>0.4058</v>
      </c>
    </row>
    <row r="325" customFormat="false" ht="15" hidden="false" customHeight="false" outlineLevel="0" collapsed="false">
      <c r="A325" s="2" t="s">
        <v>370</v>
      </c>
      <c r="B325" s="2" t="n">
        <v>560</v>
      </c>
      <c r="C325" s="2" t="s">
        <v>353</v>
      </c>
      <c r="D325" s="2" t="s">
        <v>42</v>
      </c>
      <c r="E325" s="2" t="n">
        <v>2.4</v>
      </c>
      <c r="F325" s="2" t="n">
        <v>0.985</v>
      </c>
      <c r="G325" s="2" t="n">
        <v>0.5622</v>
      </c>
      <c r="H325" s="2" t="n">
        <v>0.9479</v>
      </c>
      <c r="I325" s="2" t="n">
        <v>0.7582</v>
      </c>
      <c r="J325" s="2" t="n">
        <v>0.4078</v>
      </c>
    </row>
    <row r="326" customFormat="false" ht="15" hidden="false" customHeight="false" outlineLevel="0" collapsed="false">
      <c r="A326" s="2" t="s">
        <v>371</v>
      </c>
      <c r="B326" s="2" t="n">
        <v>540</v>
      </c>
      <c r="C326" s="2" t="s">
        <v>372</v>
      </c>
      <c r="D326" s="2" t="s">
        <v>28</v>
      </c>
      <c r="E326" s="2" t="n">
        <v>0.55</v>
      </c>
      <c r="F326" s="2" t="n">
        <v>0.6292</v>
      </c>
      <c r="G326" s="2" t="n">
        <v>0.2801</v>
      </c>
      <c r="H326" s="2" t="n">
        <v>0.5119</v>
      </c>
      <c r="I326" s="2" t="n">
        <v>0.3605</v>
      </c>
      <c r="J326" s="2" t="n">
        <v>0.1071</v>
      </c>
    </row>
    <row r="327" customFormat="false" ht="15" hidden="false" customHeight="false" outlineLevel="0" collapsed="false">
      <c r="A327" s="2" t="s">
        <v>373</v>
      </c>
      <c r="B327" s="2" t="n">
        <v>540</v>
      </c>
      <c r="C327" s="2" t="s">
        <v>372</v>
      </c>
      <c r="D327" s="2" t="s">
        <v>28</v>
      </c>
      <c r="E327" s="2" t="n">
        <v>0.8</v>
      </c>
      <c r="F327" s="2" t="n">
        <v>0.6728</v>
      </c>
      <c r="G327" s="2" t="n">
        <v>0.3059</v>
      </c>
      <c r="H327" s="2" t="n">
        <v>0.564</v>
      </c>
      <c r="I327" s="2" t="n">
        <v>0.4004</v>
      </c>
      <c r="J327" s="2" t="n">
        <v>0.1235</v>
      </c>
    </row>
    <row r="328" customFormat="false" ht="15" hidden="false" customHeight="false" outlineLevel="0" collapsed="false">
      <c r="A328" s="2" t="s">
        <v>374</v>
      </c>
      <c r="B328" s="2" t="n">
        <v>540</v>
      </c>
      <c r="C328" s="2" t="s">
        <v>372</v>
      </c>
      <c r="D328" s="2" t="s">
        <v>28</v>
      </c>
      <c r="E328" s="2" t="n">
        <v>1</v>
      </c>
      <c r="F328" s="2" t="n">
        <v>0.7043</v>
      </c>
      <c r="G328" s="2" t="n">
        <v>0.321</v>
      </c>
      <c r="H328" s="2" t="n">
        <v>0.6002</v>
      </c>
      <c r="I328" s="2" t="n">
        <v>0.4311</v>
      </c>
      <c r="J328" s="2" t="n">
        <v>0.1346</v>
      </c>
    </row>
    <row r="329" customFormat="false" ht="15" hidden="false" customHeight="false" outlineLevel="0" collapsed="false">
      <c r="A329" s="2" t="s">
        <v>375</v>
      </c>
      <c r="B329" s="2" t="n">
        <v>540</v>
      </c>
      <c r="C329" s="2" t="s">
        <v>372</v>
      </c>
      <c r="D329" s="2" t="s">
        <v>28</v>
      </c>
      <c r="E329" s="2" t="n">
        <v>1.3</v>
      </c>
      <c r="F329" s="2" t="n">
        <v>0.7446</v>
      </c>
      <c r="G329" s="2" t="n">
        <v>0.34</v>
      </c>
      <c r="H329" s="2" t="n">
        <v>0.6448</v>
      </c>
      <c r="I329" s="2" t="n">
        <v>0.4692</v>
      </c>
      <c r="J329" s="2" t="n">
        <v>0.149</v>
      </c>
    </row>
    <row r="330" customFormat="false" ht="15" hidden="false" customHeight="false" outlineLevel="0" collapsed="false">
      <c r="A330" s="2" t="s">
        <v>376</v>
      </c>
      <c r="B330" s="2" t="n">
        <v>540</v>
      </c>
      <c r="C330" s="2" t="s">
        <v>372</v>
      </c>
      <c r="D330" s="2" t="s">
        <v>28</v>
      </c>
      <c r="E330" s="2" t="n">
        <v>1.85</v>
      </c>
      <c r="F330" s="2" t="n">
        <v>0.8006</v>
      </c>
      <c r="G330" s="2" t="n">
        <v>0.3671</v>
      </c>
      <c r="H330" s="2" t="n">
        <v>0.7056</v>
      </c>
      <c r="I330" s="2" t="n">
        <v>0.5219</v>
      </c>
      <c r="J330" s="2" t="n">
        <v>0.1709</v>
      </c>
    </row>
    <row r="331" customFormat="false" ht="15" hidden="false" customHeight="false" outlineLevel="0" collapsed="false">
      <c r="A331" s="2" t="s">
        <v>377</v>
      </c>
      <c r="B331" s="2" t="n">
        <v>540</v>
      </c>
      <c r="C331" s="2" t="s">
        <v>372</v>
      </c>
      <c r="D331" s="2" t="s">
        <v>28</v>
      </c>
      <c r="E331" s="2" t="n">
        <v>2.4</v>
      </c>
      <c r="F331" s="2" t="n">
        <v>0.8391</v>
      </c>
      <c r="G331" s="2" t="n">
        <v>0.3865</v>
      </c>
      <c r="H331" s="2" t="n">
        <v>0.7485</v>
      </c>
      <c r="I331" s="2" t="n">
        <v>0.559</v>
      </c>
      <c r="J331" s="2" t="n">
        <v>0.1888</v>
      </c>
    </row>
    <row r="332" customFormat="false" ht="15" hidden="false" customHeight="false" outlineLevel="0" collapsed="false">
      <c r="A332" s="2" t="s">
        <v>378</v>
      </c>
      <c r="B332" s="2" t="n">
        <v>540</v>
      </c>
      <c r="C332" s="2" t="s">
        <v>372</v>
      </c>
      <c r="D332" s="2" t="s">
        <v>35</v>
      </c>
      <c r="E332" s="2" t="n">
        <v>0.55</v>
      </c>
      <c r="F332" s="2" t="n">
        <v>0.6493</v>
      </c>
      <c r="G332" s="2" t="n">
        <v>0.316</v>
      </c>
      <c r="H332" s="2" t="n">
        <v>0.516</v>
      </c>
      <c r="I332" s="2" t="n">
        <v>0.3411</v>
      </c>
      <c r="J332" s="2" t="n">
        <v>0.1137</v>
      </c>
    </row>
    <row r="333" customFormat="false" ht="15" hidden="false" customHeight="false" outlineLevel="0" collapsed="false">
      <c r="A333" s="2" t="s">
        <v>379</v>
      </c>
      <c r="B333" s="2" t="n">
        <v>540</v>
      </c>
      <c r="C333" s="2" t="s">
        <v>372</v>
      </c>
      <c r="D333" s="2" t="s">
        <v>35</v>
      </c>
      <c r="E333" s="2" t="n">
        <v>0.8</v>
      </c>
      <c r="F333" s="2" t="n">
        <v>0.694</v>
      </c>
      <c r="G333" s="2" t="n">
        <v>0.3444</v>
      </c>
      <c r="H333" s="2" t="n">
        <v>0.5721</v>
      </c>
      <c r="I333" s="2" t="n">
        <v>0.3842</v>
      </c>
      <c r="J333" s="2" t="n">
        <v>0.1336</v>
      </c>
    </row>
    <row r="334" customFormat="false" ht="15" hidden="false" customHeight="false" outlineLevel="0" collapsed="false">
      <c r="A334" s="2" t="s">
        <v>380</v>
      </c>
      <c r="B334" s="2" t="n">
        <v>540</v>
      </c>
      <c r="C334" s="2" t="s">
        <v>372</v>
      </c>
      <c r="D334" s="2" t="s">
        <v>35</v>
      </c>
      <c r="E334" s="2" t="n">
        <v>1</v>
      </c>
      <c r="F334" s="2" t="n">
        <v>0.7256</v>
      </c>
      <c r="G334" s="2" t="n">
        <v>0.3613</v>
      </c>
      <c r="H334" s="2" t="n">
        <v>0.6099</v>
      </c>
      <c r="I334" s="2" t="n">
        <v>0.4155</v>
      </c>
      <c r="J334" s="2" t="n">
        <v>0.1473</v>
      </c>
    </row>
    <row r="335" customFormat="false" ht="15" hidden="false" customHeight="false" outlineLevel="0" collapsed="false">
      <c r="A335" s="2" t="s">
        <v>381</v>
      </c>
      <c r="B335" s="2" t="n">
        <v>540</v>
      </c>
      <c r="C335" s="2" t="s">
        <v>372</v>
      </c>
      <c r="D335" s="2" t="s">
        <v>35</v>
      </c>
      <c r="E335" s="2" t="n">
        <v>1.3</v>
      </c>
      <c r="F335" s="2" t="n">
        <v>0.765</v>
      </c>
      <c r="G335" s="2" t="n">
        <v>0.3817</v>
      </c>
      <c r="H335" s="2" t="n">
        <v>0.6545</v>
      </c>
      <c r="I335" s="2" t="n">
        <v>0.4548</v>
      </c>
      <c r="J335" s="2" t="n">
        <v>0.1652</v>
      </c>
    </row>
    <row r="336" customFormat="false" ht="15" hidden="false" customHeight="false" outlineLevel="0" collapsed="false">
      <c r="A336" s="2" t="s">
        <v>382</v>
      </c>
      <c r="B336" s="2" t="n">
        <v>540</v>
      </c>
      <c r="C336" s="2" t="s">
        <v>372</v>
      </c>
      <c r="D336" s="2" t="s">
        <v>35</v>
      </c>
      <c r="E336" s="2" t="n">
        <v>1.85</v>
      </c>
      <c r="F336" s="2" t="n">
        <v>0.8184</v>
      </c>
      <c r="G336" s="2" t="n">
        <v>0.4112</v>
      </c>
      <c r="H336" s="2" t="n">
        <v>0.7151</v>
      </c>
      <c r="I336" s="2" t="n">
        <v>0.5074</v>
      </c>
      <c r="J336" s="2" t="n">
        <v>0.1911</v>
      </c>
    </row>
    <row r="337" customFormat="false" ht="15" hidden="false" customHeight="false" outlineLevel="0" collapsed="false">
      <c r="A337" s="2" t="s">
        <v>383</v>
      </c>
      <c r="B337" s="2" t="n">
        <v>540</v>
      </c>
      <c r="C337" s="2" t="s">
        <v>372</v>
      </c>
      <c r="D337" s="2" t="s">
        <v>35</v>
      </c>
      <c r="E337" s="2" t="n">
        <v>2.4</v>
      </c>
      <c r="F337" s="2" t="n">
        <v>0.8552</v>
      </c>
      <c r="G337" s="2" t="n">
        <v>0.4314</v>
      </c>
      <c r="H337" s="2" t="n">
        <v>0.7578</v>
      </c>
      <c r="I337" s="2" t="n">
        <v>0.5452</v>
      </c>
      <c r="J337" s="2" t="n">
        <v>0.2117</v>
      </c>
    </row>
    <row r="338" customFormat="false" ht="15" hidden="false" customHeight="false" outlineLevel="0" collapsed="false">
      <c r="A338" s="2" t="s">
        <v>384</v>
      </c>
      <c r="B338" s="2" t="n">
        <v>540</v>
      </c>
      <c r="C338" s="2" t="s">
        <v>372</v>
      </c>
      <c r="D338" s="2" t="s">
        <v>42</v>
      </c>
      <c r="E338" s="2" t="n">
        <v>0.55</v>
      </c>
      <c r="F338" s="2" t="n">
        <v>0.983</v>
      </c>
      <c r="G338" s="2" t="n">
        <v>0.5441</v>
      </c>
      <c r="H338" s="2" t="n">
        <v>0.9416</v>
      </c>
      <c r="I338" s="2" t="n">
        <v>0.7514</v>
      </c>
      <c r="J338" s="2" t="n">
        <v>0.3836</v>
      </c>
    </row>
    <row r="339" customFormat="false" ht="15" hidden="false" customHeight="false" outlineLevel="0" collapsed="false">
      <c r="A339" s="2" t="s">
        <v>385</v>
      </c>
      <c r="B339" s="2" t="n">
        <v>540</v>
      </c>
      <c r="C339" s="2" t="s">
        <v>372</v>
      </c>
      <c r="D339" s="2" t="s">
        <v>42</v>
      </c>
      <c r="E339" s="2" t="n">
        <v>0.8</v>
      </c>
      <c r="F339" s="2" t="n">
        <v>0.983</v>
      </c>
      <c r="G339" s="2" t="n">
        <v>0.5446</v>
      </c>
      <c r="H339" s="2" t="n">
        <v>0.9416</v>
      </c>
      <c r="I339" s="2" t="n">
        <v>0.7515</v>
      </c>
      <c r="J339" s="2" t="n">
        <v>0.3842</v>
      </c>
    </row>
    <row r="340" customFormat="false" ht="15" hidden="false" customHeight="false" outlineLevel="0" collapsed="false">
      <c r="A340" s="2" t="s">
        <v>386</v>
      </c>
      <c r="B340" s="2" t="n">
        <v>540</v>
      </c>
      <c r="C340" s="2" t="s">
        <v>372</v>
      </c>
      <c r="D340" s="2" t="s">
        <v>42</v>
      </c>
      <c r="E340" s="2" t="n">
        <v>1</v>
      </c>
      <c r="F340" s="2" t="n">
        <v>0.983</v>
      </c>
      <c r="G340" s="2" t="n">
        <v>0.5449</v>
      </c>
      <c r="H340" s="2" t="n">
        <v>0.9416</v>
      </c>
      <c r="I340" s="2" t="n">
        <v>0.7515</v>
      </c>
      <c r="J340" s="2" t="n">
        <v>0.3845</v>
      </c>
    </row>
    <row r="341" customFormat="false" ht="15" hidden="false" customHeight="false" outlineLevel="0" collapsed="false">
      <c r="A341" s="2" t="s">
        <v>387</v>
      </c>
      <c r="B341" s="2" t="n">
        <v>540</v>
      </c>
      <c r="C341" s="2" t="s">
        <v>372</v>
      </c>
      <c r="D341" s="2" t="s">
        <v>42</v>
      </c>
      <c r="E341" s="2" t="n">
        <v>1.3</v>
      </c>
      <c r="F341" s="2" t="n">
        <v>0.983</v>
      </c>
      <c r="G341" s="2" t="n">
        <v>0.5456</v>
      </c>
      <c r="H341" s="2" t="n">
        <v>0.9419</v>
      </c>
      <c r="I341" s="2" t="n">
        <v>0.7515</v>
      </c>
      <c r="J341" s="2" t="n">
        <v>0.3852</v>
      </c>
    </row>
    <row r="342" customFormat="false" ht="15" hidden="false" customHeight="false" outlineLevel="0" collapsed="false">
      <c r="A342" s="2" t="s">
        <v>388</v>
      </c>
      <c r="B342" s="2" t="n">
        <v>540</v>
      </c>
      <c r="C342" s="2" t="s">
        <v>372</v>
      </c>
      <c r="D342" s="2" t="s">
        <v>42</v>
      </c>
      <c r="E342" s="2" t="n">
        <v>1.85</v>
      </c>
      <c r="F342" s="2" t="n">
        <v>0.983</v>
      </c>
      <c r="G342" s="2" t="n">
        <v>0.5469</v>
      </c>
      <c r="H342" s="2" t="n">
        <v>0.9425</v>
      </c>
      <c r="I342" s="2" t="n">
        <v>0.7518</v>
      </c>
      <c r="J342" s="2" t="n">
        <v>0.3872</v>
      </c>
    </row>
    <row r="343" customFormat="false" ht="15" hidden="false" customHeight="false" outlineLevel="0" collapsed="false">
      <c r="A343" s="2" t="s">
        <v>389</v>
      </c>
      <c r="B343" s="2" t="n">
        <v>540</v>
      </c>
      <c r="C343" s="2" t="s">
        <v>372</v>
      </c>
      <c r="D343" s="2" t="s">
        <v>42</v>
      </c>
      <c r="E343" s="2" t="n">
        <v>2.4</v>
      </c>
      <c r="F343" s="2" t="n">
        <v>0.983</v>
      </c>
      <c r="G343" s="2" t="n">
        <v>0.5481</v>
      </c>
      <c r="H343" s="2" t="n">
        <v>0.9432</v>
      </c>
      <c r="I343" s="2" t="n">
        <v>0.7522</v>
      </c>
      <c r="J343" s="2" t="n">
        <v>0.389</v>
      </c>
    </row>
    <row r="344" customFormat="false" ht="15" hidden="false" customHeight="false" outlineLevel="0" collapsed="false">
      <c r="A344" s="2" t="s">
        <v>390</v>
      </c>
      <c r="B344" s="2" t="n">
        <v>520</v>
      </c>
      <c r="C344" s="2" t="s">
        <v>391</v>
      </c>
      <c r="D344" s="2" t="s">
        <v>28</v>
      </c>
      <c r="E344" s="2" t="n">
        <v>0.55</v>
      </c>
      <c r="F344" s="2" t="n">
        <v>0.6198</v>
      </c>
      <c r="G344" s="2" t="n">
        <v>0.2682</v>
      </c>
      <c r="H344" s="2" t="n">
        <v>0.5027</v>
      </c>
      <c r="I344" s="2" t="n">
        <v>0.3565</v>
      </c>
      <c r="J344" s="2" t="n">
        <v>0.1021</v>
      </c>
    </row>
    <row r="345" customFormat="false" ht="15" hidden="false" customHeight="false" outlineLevel="0" collapsed="false">
      <c r="A345" s="2" t="s">
        <v>392</v>
      </c>
      <c r="B345" s="2" t="n">
        <v>520</v>
      </c>
      <c r="C345" s="2" t="s">
        <v>391</v>
      </c>
      <c r="D345" s="2" t="s">
        <v>28</v>
      </c>
      <c r="E345" s="2" t="n">
        <v>0.8</v>
      </c>
      <c r="F345" s="2" t="n">
        <v>0.6637</v>
      </c>
      <c r="G345" s="2" t="n">
        <v>0.293</v>
      </c>
      <c r="H345" s="2" t="n">
        <v>0.555</v>
      </c>
      <c r="I345" s="2" t="n">
        <v>0.398</v>
      </c>
      <c r="J345" s="2" t="n">
        <v>0.1178</v>
      </c>
    </row>
    <row r="346" customFormat="false" ht="15" hidden="false" customHeight="false" outlineLevel="0" collapsed="false">
      <c r="A346" s="2" t="s">
        <v>393</v>
      </c>
      <c r="B346" s="2" t="n">
        <v>520</v>
      </c>
      <c r="C346" s="2" t="s">
        <v>391</v>
      </c>
      <c r="D346" s="2" t="s">
        <v>28</v>
      </c>
      <c r="E346" s="2" t="n">
        <v>1</v>
      </c>
      <c r="F346" s="2" t="n">
        <v>0.6944</v>
      </c>
      <c r="G346" s="2" t="n">
        <v>0.3088</v>
      </c>
      <c r="H346" s="2" t="n">
        <v>0.5903</v>
      </c>
      <c r="I346" s="2" t="n">
        <v>0.427</v>
      </c>
      <c r="J346" s="2" t="n">
        <v>0.1289</v>
      </c>
    </row>
    <row r="347" customFormat="false" ht="15" hidden="false" customHeight="false" outlineLevel="0" collapsed="false">
      <c r="A347" s="2" t="s">
        <v>394</v>
      </c>
      <c r="B347" s="2" t="n">
        <v>520</v>
      </c>
      <c r="C347" s="2" t="s">
        <v>391</v>
      </c>
      <c r="D347" s="2" t="s">
        <v>28</v>
      </c>
      <c r="E347" s="2" t="n">
        <v>1.3</v>
      </c>
      <c r="F347" s="2" t="n">
        <v>0.7364</v>
      </c>
      <c r="G347" s="2" t="n">
        <v>0.3284</v>
      </c>
      <c r="H347" s="2" t="n">
        <v>0.6362</v>
      </c>
      <c r="I347" s="2" t="n">
        <v>0.4654</v>
      </c>
      <c r="J347" s="2" t="n">
        <v>0.1425</v>
      </c>
    </row>
    <row r="348" customFormat="false" ht="15" hidden="false" customHeight="false" outlineLevel="0" collapsed="false">
      <c r="A348" s="2" t="s">
        <v>395</v>
      </c>
      <c r="B348" s="2" t="n">
        <v>520</v>
      </c>
      <c r="C348" s="2" t="s">
        <v>391</v>
      </c>
      <c r="D348" s="2" t="s">
        <v>28</v>
      </c>
      <c r="E348" s="2" t="n">
        <v>1.85</v>
      </c>
      <c r="F348" s="2" t="n">
        <v>0.7943</v>
      </c>
      <c r="G348" s="2" t="n">
        <v>0.3561</v>
      </c>
      <c r="H348" s="2" t="n">
        <v>0.6989</v>
      </c>
      <c r="I348" s="2" t="n">
        <v>0.5207</v>
      </c>
      <c r="J348" s="2" t="n">
        <v>0.1651</v>
      </c>
    </row>
    <row r="349" customFormat="false" ht="15" hidden="false" customHeight="false" outlineLevel="0" collapsed="false">
      <c r="A349" s="2" t="s">
        <v>396</v>
      </c>
      <c r="B349" s="2" t="n">
        <v>520</v>
      </c>
      <c r="C349" s="2" t="s">
        <v>391</v>
      </c>
      <c r="D349" s="2" t="s">
        <v>28</v>
      </c>
      <c r="E349" s="2" t="n">
        <v>2.4</v>
      </c>
      <c r="F349" s="2" t="n">
        <v>0.8328</v>
      </c>
      <c r="G349" s="2" t="n">
        <v>0.3757</v>
      </c>
      <c r="H349" s="2" t="n">
        <v>0.7414</v>
      </c>
      <c r="I349" s="2" t="n">
        <v>0.5575</v>
      </c>
      <c r="J349" s="2" t="n">
        <v>0.1823</v>
      </c>
    </row>
    <row r="350" customFormat="false" ht="15" hidden="false" customHeight="false" outlineLevel="0" collapsed="false">
      <c r="A350" s="2" t="s">
        <v>397</v>
      </c>
      <c r="B350" s="2" t="n">
        <v>520</v>
      </c>
      <c r="C350" s="2" t="s">
        <v>391</v>
      </c>
      <c r="D350" s="2" t="s">
        <v>35</v>
      </c>
      <c r="E350" s="2" t="n">
        <v>0.55</v>
      </c>
      <c r="F350" s="2" t="n">
        <v>0.6421</v>
      </c>
      <c r="G350" s="2" t="n">
        <v>0.305</v>
      </c>
      <c r="H350" s="2" t="n">
        <v>0.5092</v>
      </c>
      <c r="I350" s="2" t="n">
        <v>0.3392</v>
      </c>
      <c r="J350" s="2" t="n">
        <v>0.1102</v>
      </c>
    </row>
    <row r="351" customFormat="false" ht="15" hidden="false" customHeight="false" outlineLevel="0" collapsed="false">
      <c r="A351" s="2" t="s">
        <v>398</v>
      </c>
      <c r="B351" s="2" t="n">
        <v>520</v>
      </c>
      <c r="C351" s="2" t="s">
        <v>391</v>
      </c>
      <c r="D351" s="2" t="s">
        <v>35</v>
      </c>
      <c r="E351" s="2" t="n">
        <v>0.8</v>
      </c>
      <c r="F351" s="2" t="n">
        <v>0.6873</v>
      </c>
      <c r="G351" s="2" t="n">
        <v>0.3337</v>
      </c>
      <c r="H351" s="2" t="n">
        <v>0.5658</v>
      </c>
      <c r="I351" s="2" t="n">
        <v>0.3838</v>
      </c>
      <c r="J351" s="2" t="n">
        <v>0.1304</v>
      </c>
    </row>
    <row r="352" customFormat="false" ht="15" hidden="false" customHeight="false" outlineLevel="0" collapsed="false">
      <c r="A352" s="2" t="s">
        <v>399</v>
      </c>
      <c r="B352" s="2" t="n">
        <v>520</v>
      </c>
      <c r="C352" s="2" t="s">
        <v>391</v>
      </c>
      <c r="D352" s="2" t="s">
        <v>35</v>
      </c>
      <c r="E352" s="2" t="n">
        <v>1</v>
      </c>
      <c r="F352" s="2" t="n">
        <v>0.7188</v>
      </c>
      <c r="G352" s="2" t="n">
        <v>0.3508</v>
      </c>
      <c r="H352" s="2" t="n">
        <v>0.6028</v>
      </c>
      <c r="I352" s="2" t="n">
        <v>0.4144</v>
      </c>
      <c r="J352" s="2" t="n">
        <v>0.1436</v>
      </c>
    </row>
    <row r="353" customFormat="false" ht="15" hidden="false" customHeight="false" outlineLevel="0" collapsed="false">
      <c r="A353" s="2" t="s">
        <v>400</v>
      </c>
      <c r="B353" s="2" t="n">
        <v>520</v>
      </c>
      <c r="C353" s="2" t="s">
        <v>391</v>
      </c>
      <c r="D353" s="2" t="s">
        <v>35</v>
      </c>
      <c r="E353" s="2" t="n">
        <v>1.3</v>
      </c>
      <c r="F353" s="2" t="n">
        <v>0.7602</v>
      </c>
      <c r="G353" s="2" t="n">
        <v>0.3718</v>
      </c>
      <c r="H353" s="2" t="n">
        <v>0.6496</v>
      </c>
      <c r="I353" s="2" t="n">
        <v>0.4544</v>
      </c>
      <c r="J353" s="2" t="n">
        <v>0.1606</v>
      </c>
    </row>
    <row r="354" customFormat="false" ht="15" hidden="false" customHeight="false" outlineLevel="0" collapsed="false">
      <c r="A354" s="2" t="s">
        <v>401</v>
      </c>
      <c r="B354" s="2" t="n">
        <v>520</v>
      </c>
      <c r="C354" s="2" t="s">
        <v>391</v>
      </c>
      <c r="D354" s="2" t="s">
        <v>35</v>
      </c>
      <c r="E354" s="2" t="n">
        <v>1.85</v>
      </c>
      <c r="F354" s="2" t="n">
        <v>0.8152</v>
      </c>
      <c r="G354" s="2" t="n">
        <v>0.4016</v>
      </c>
      <c r="H354" s="2" t="n">
        <v>0.7118</v>
      </c>
      <c r="I354" s="2" t="n">
        <v>0.51</v>
      </c>
      <c r="J354" s="2" t="n">
        <v>0.1876</v>
      </c>
    </row>
    <row r="355" customFormat="false" ht="15" hidden="false" customHeight="false" outlineLevel="0" collapsed="false">
      <c r="A355" s="2" t="s">
        <v>402</v>
      </c>
      <c r="B355" s="2" t="n">
        <v>520</v>
      </c>
      <c r="C355" s="2" t="s">
        <v>391</v>
      </c>
      <c r="D355" s="2" t="s">
        <v>35</v>
      </c>
      <c r="E355" s="2" t="n">
        <v>2.4</v>
      </c>
      <c r="F355" s="2" t="n">
        <v>0.8517</v>
      </c>
      <c r="G355" s="2" t="n">
        <v>0.4212</v>
      </c>
      <c r="H355" s="2" t="n">
        <v>0.7542</v>
      </c>
      <c r="I355" s="2" t="n">
        <v>0.5476</v>
      </c>
      <c r="J355" s="2" t="n">
        <v>0.2073</v>
      </c>
    </row>
    <row r="356" customFormat="false" ht="15" hidden="false" customHeight="false" outlineLevel="0" collapsed="false">
      <c r="A356" s="2" t="s">
        <v>403</v>
      </c>
      <c r="B356" s="2" t="n">
        <v>520</v>
      </c>
      <c r="C356" s="2" t="s">
        <v>391</v>
      </c>
      <c r="D356" s="2" t="s">
        <v>42</v>
      </c>
      <c r="E356" s="2" t="n">
        <v>0.55</v>
      </c>
      <c r="F356" s="2" t="n">
        <v>0.9803</v>
      </c>
      <c r="G356" s="2" t="n">
        <v>0.5293</v>
      </c>
      <c r="H356" s="2" t="n">
        <v>0.9357</v>
      </c>
      <c r="I356" s="2" t="n">
        <v>0.7455</v>
      </c>
      <c r="J356" s="2" t="n">
        <v>0.3651</v>
      </c>
    </row>
    <row r="357" customFormat="false" ht="15" hidden="false" customHeight="false" outlineLevel="0" collapsed="false">
      <c r="A357" s="2" t="s">
        <v>404</v>
      </c>
      <c r="B357" s="2" t="n">
        <v>520</v>
      </c>
      <c r="C357" s="2" t="s">
        <v>391</v>
      </c>
      <c r="D357" s="2" t="s">
        <v>42</v>
      </c>
      <c r="E357" s="2" t="n">
        <v>0.8</v>
      </c>
      <c r="F357" s="2" t="n">
        <v>0.9803</v>
      </c>
      <c r="G357" s="2" t="n">
        <v>0.5295</v>
      </c>
      <c r="H357" s="2" t="n">
        <v>0.9357</v>
      </c>
      <c r="I357" s="2" t="n">
        <v>0.7456</v>
      </c>
      <c r="J357" s="2" t="n">
        <v>0.3654</v>
      </c>
    </row>
    <row r="358" customFormat="false" ht="15" hidden="false" customHeight="false" outlineLevel="0" collapsed="false">
      <c r="A358" s="2" t="s">
        <v>405</v>
      </c>
      <c r="B358" s="2" t="n">
        <v>520</v>
      </c>
      <c r="C358" s="2" t="s">
        <v>391</v>
      </c>
      <c r="D358" s="2" t="s">
        <v>42</v>
      </c>
      <c r="E358" s="2" t="n">
        <v>1</v>
      </c>
      <c r="F358" s="2" t="n">
        <v>0.9803</v>
      </c>
      <c r="G358" s="2" t="n">
        <v>0.53</v>
      </c>
      <c r="H358" s="2" t="n">
        <v>0.9357</v>
      </c>
      <c r="I358" s="2" t="n">
        <v>0.7456</v>
      </c>
      <c r="J358" s="2" t="n">
        <v>0.3658</v>
      </c>
    </row>
    <row r="359" customFormat="false" ht="15" hidden="false" customHeight="false" outlineLevel="0" collapsed="false">
      <c r="A359" s="2" t="s">
        <v>406</v>
      </c>
      <c r="B359" s="2" t="n">
        <v>520</v>
      </c>
      <c r="C359" s="2" t="s">
        <v>391</v>
      </c>
      <c r="D359" s="2" t="s">
        <v>42</v>
      </c>
      <c r="E359" s="2" t="n">
        <v>1.3</v>
      </c>
      <c r="F359" s="2" t="n">
        <v>0.9803</v>
      </c>
      <c r="G359" s="2" t="n">
        <v>0.5308</v>
      </c>
      <c r="H359" s="2" t="n">
        <v>0.936</v>
      </c>
      <c r="I359" s="2" t="n">
        <v>0.7457</v>
      </c>
      <c r="J359" s="2" t="n">
        <v>0.3667</v>
      </c>
    </row>
    <row r="360" customFormat="false" ht="15" hidden="false" customHeight="false" outlineLevel="0" collapsed="false">
      <c r="A360" s="2" t="s">
        <v>407</v>
      </c>
      <c r="B360" s="2" t="n">
        <v>520</v>
      </c>
      <c r="C360" s="2" t="s">
        <v>391</v>
      </c>
      <c r="D360" s="2" t="s">
        <v>42</v>
      </c>
      <c r="E360" s="2" t="n">
        <v>1.85</v>
      </c>
      <c r="F360" s="2" t="n">
        <v>0.9803</v>
      </c>
      <c r="G360" s="2" t="n">
        <v>0.5326</v>
      </c>
      <c r="H360" s="2" t="n">
        <v>0.9369</v>
      </c>
      <c r="I360" s="2" t="n">
        <v>0.7461</v>
      </c>
      <c r="J360" s="2" t="n">
        <v>0.3688</v>
      </c>
    </row>
    <row r="361" customFormat="false" ht="15" hidden="false" customHeight="false" outlineLevel="0" collapsed="false">
      <c r="A361" s="2" t="s">
        <v>408</v>
      </c>
      <c r="B361" s="2" t="n">
        <v>520</v>
      </c>
      <c r="C361" s="2" t="s">
        <v>391</v>
      </c>
      <c r="D361" s="2" t="s">
        <v>42</v>
      </c>
      <c r="E361" s="2" t="n">
        <v>2.4</v>
      </c>
      <c r="F361" s="2" t="n">
        <v>0.9803</v>
      </c>
      <c r="G361" s="2" t="n">
        <v>0.5334</v>
      </c>
      <c r="H361" s="2" t="n">
        <v>0.9375</v>
      </c>
      <c r="I361" s="2" t="n">
        <v>0.7466</v>
      </c>
      <c r="J361" s="2" t="n">
        <v>0.3707</v>
      </c>
    </row>
    <row r="362" customFormat="false" ht="15" hidden="false" customHeight="false" outlineLevel="0" collapsed="false">
      <c r="A362" s="2" t="s">
        <v>409</v>
      </c>
      <c r="B362" s="2" t="n">
        <v>500</v>
      </c>
      <c r="C362" s="2" t="s">
        <v>410</v>
      </c>
      <c r="D362" s="2" t="s">
        <v>28</v>
      </c>
      <c r="E362" s="2" t="n">
        <v>0.55</v>
      </c>
      <c r="F362" s="2" t="n">
        <v>0.607</v>
      </c>
      <c r="G362" s="2" t="n">
        <v>0.2576</v>
      </c>
      <c r="H362" s="2" t="n">
        <v>0.4908</v>
      </c>
      <c r="I362" s="2" t="n">
        <v>0.3485</v>
      </c>
      <c r="J362" s="2" t="n">
        <v>0.0957</v>
      </c>
    </row>
    <row r="363" customFormat="false" ht="15" hidden="false" customHeight="false" outlineLevel="0" collapsed="false">
      <c r="A363" s="2" t="s">
        <v>411</v>
      </c>
      <c r="B363" s="2" t="n">
        <v>500</v>
      </c>
      <c r="C363" s="2" t="s">
        <v>410</v>
      </c>
      <c r="D363" s="2" t="s">
        <v>28</v>
      </c>
      <c r="E363" s="2" t="n">
        <v>0.8</v>
      </c>
      <c r="F363" s="2" t="n">
        <v>0.653</v>
      </c>
      <c r="G363" s="2" t="n">
        <v>0.2824</v>
      </c>
      <c r="H363" s="2" t="n">
        <v>0.5441</v>
      </c>
      <c r="I363" s="2" t="n">
        <v>0.3913</v>
      </c>
      <c r="J363" s="2" t="n">
        <v>0.111</v>
      </c>
    </row>
    <row r="364" customFormat="false" ht="15" hidden="false" customHeight="false" outlineLevel="0" collapsed="false">
      <c r="A364" s="2" t="s">
        <v>412</v>
      </c>
      <c r="B364" s="2" t="n">
        <v>500</v>
      </c>
      <c r="C364" s="2" t="s">
        <v>410</v>
      </c>
      <c r="D364" s="2" t="s">
        <v>28</v>
      </c>
      <c r="E364" s="2" t="n">
        <v>1</v>
      </c>
      <c r="F364" s="2" t="n">
        <v>0.6837</v>
      </c>
      <c r="G364" s="2" t="n">
        <v>0.2972</v>
      </c>
      <c r="H364" s="2" t="n">
        <v>0.5779</v>
      </c>
      <c r="I364" s="2" t="n">
        <v>0.4201</v>
      </c>
      <c r="J364" s="2" t="n">
        <v>0.1217</v>
      </c>
    </row>
    <row r="365" customFormat="false" ht="15" hidden="false" customHeight="false" outlineLevel="0" collapsed="false">
      <c r="A365" s="2" t="s">
        <v>413</v>
      </c>
      <c r="B365" s="2" t="n">
        <v>500</v>
      </c>
      <c r="C365" s="2" t="s">
        <v>410</v>
      </c>
      <c r="D365" s="2" t="s">
        <v>28</v>
      </c>
      <c r="E365" s="2" t="n">
        <v>1.3</v>
      </c>
      <c r="F365" s="2" t="n">
        <v>0.7243</v>
      </c>
      <c r="G365" s="2" t="n">
        <v>0.3163</v>
      </c>
      <c r="H365" s="2" t="n">
        <v>0.6218</v>
      </c>
      <c r="I365" s="2" t="n">
        <v>0.4585</v>
      </c>
      <c r="J365" s="2" t="n">
        <v>0.1371</v>
      </c>
    </row>
    <row r="366" customFormat="false" ht="15" hidden="false" customHeight="false" outlineLevel="0" collapsed="false">
      <c r="A366" s="2" t="s">
        <v>414</v>
      </c>
      <c r="B366" s="2" t="n">
        <v>500</v>
      </c>
      <c r="C366" s="2" t="s">
        <v>410</v>
      </c>
      <c r="D366" s="2" t="s">
        <v>28</v>
      </c>
      <c r="E366" s="2" t="n">
        <v>1.85</v>
      </c>
      <c r="F366" s="2" t="n">
        <v>0.7848</v>
      </c>
      <c r="G366" s="2" t="n">
        <v>0.3447</v>
      </c>
      <c r="H366" s="2" t="n">
        <v>0.6886</v>
      </c>
      <c r="I366" s="2" t="n">
        <v>0.5149</v>
      </c>
      <c r="J366" s="2" t="n">
        <v>0.1587</v>
      </c>
    </row>
    <row r="367" customFormat="false" ht="15" hidden="false" customHeight="false" outlineLevel="0" collapsed="false">
      <c r="A367" s="2" t="s">
        <v>415</v>
      </c>
      <c r="B367" s="2" t="n">
        <v>500</v>
      </c>
      <c r="C367" s="2" t="s">
        <v>410</v>
      </c>
      <c r="D367" s="2" t="s">
        <v>28</v>
      </c>
      <c r="E367" s="2" t="n">
        <v>2.4</v>
      </c>
      <c r="F367" s="2" t="n">
        <v>0.8249</v>
      </c>
      <c r="G367" s="2" t="n">
        <v>0.3648</v>
      </c>
      <c r="H367" s="2" t="n">
        <v>0.7326</v>
      </c>
      <c r="I367" s="2" t="n">
        <v>0.5528</v>
      </c>
      <c r="J367" s="2" t="n">
        <v>0.1746</v>
      </c>
    </row>
    <row r="368" customFormat="false" ht="15" hidden="false" customHeight="false" outlineLevel="0" collapsed="false">
      <c r="A368" s="2" t="s">
        <v>416</v>
      </c>
      <c r="B368" s="2" t="n">
        <v>500</v>
      </c>
      <c r="C368" s="2" t="s">
        <v>410</v>
      </c>
      <c r="D368" s="2" t="s">
        <v>35</v>
      </c>
      <c r="E368" s="2" t="n">
        <v>0.55</v>
      </c>
      <c r="F368" s="2" t="n">
        <v>0.633</v>
      </c>
      <c r="G368" s="2" t="n">
        <v>0.2959</v>
      </c>
      <c r="H368" s="2" t="n">
        <v>0.5009</v>
      </c>
      <c r="I368" s="2" t="n">
        <v>0.334</v>
      </c>
      <c r="J368" s="2" t="n">
        <v>0.105</v>
      </c>
    </row>
    <row r="369" customFormat="false" ht="15" hidden="false" customHeight="false" outlineLevel="0" collapsed="false">
      <c r="A369" s="2" t="s">
        <v>417</v>
      </c>
      <c r="B369" s="2" t="n">
        <v>500</v>
      </c>
      <c r="C369" s="2" t="s">
        <v>410</v>
      </c>
      <c r="D369" s="2" t="s">
        <v>35</v>
      </c>
      <c r="E369" s="2" t="n">
        <v>0.8</v>
      </c>
      <c r="F369" s="2" t="n">
        <v>0.6806</v>
      </c>
      <c r="G369" s="2" t="n">
        <v>0.3253</v>
      </c>
      <c r="H369" s="2" t="n">
        <v>0.5589</v>
      </c>
      <c r="I369" s="2" t="n">
        <v>0.3804</v>
      </c>
      <c r="J369" s="2" t="n">
        <v>0.1252</v>
      </c>
    </row>
    <row r="370" customFormat="false" ht="15" hidden="false" customHeight="false" outlineLevel="0" collapsed="false">
      <c r="A370" s="2" t="s">
        <v>418</v>
      </c>
      <c r="B370" s="2" t="n">
        <v>500</v>
      </c>
      <c r="C370" s="2" t="s">
        <v>410</v>
      </c>
      <c r="D370" s="2" t="s">
        <v>35</v>
      </c>
      <c r="E370" s="2" t="n">
        <v>1</v>
      </c>
      <c r="F370" s="2" t="n">
        <v>0.7115</v>
      </c>
      <c r="G370" s="2" t="n">
        <v>0.3428</v>
      </c>
      <c r="H370" s="2" t="n">
        <v>0.5947</v>
      </c>
      <c r="I370" s="2" t="n">
        <v>0.4103</v>
      </c>
      <c r="J370" s="2" t="n">
        <v>0.1388</v>
      </c>
    </row>
    <row r="371" customFormat="false" ht="15" hidden="false" customHeight="false" outlineLevel="0" collapsed="false">
      <c r="A371" s="2" t="s">
        <v>419</v>
      </c>
      <c r="B371" s="2" t="n">
        <v>500</v>
      </c>
      <c r="C371" s="2" t="s">
        <v>410</v>
      </c>
      <c r="D371" s="2" t="s">
        <v>35</v>
      </c>
      <c r="E371" s="2" t="n">
        <v>1.3</v>
      </c>
      <c r="F371" s="2" t="n">
        <v>0.7528</v>
      </c>
      <c r="G371" s="2" t="n">
        <v>0.3641</v>
      </c>
      <c r="H371" s="2" t="n">
        <v>0.6411</v>
      </c>
      <c r="I371" s="2" t="n">
        <v>0.451</v>
      </c>
      <c r="J371" s="2" t="n">
        <v>0.1576</v>
      </c>
    </row>
    <row r="372" customFormat="false" ht="15" hidden="false" customHeight="false" outlineLevel="0" collapsed="false">
      <c r="A372" s="2" t="s">
        <v>420</v>
      </c>
      <c r="B372" s="2" t="n">
        <v>500</v>
      </c>
      <c r="C372" s="2" t="s">
        <v>410</v>
      </c>
      <c r="D372" s="2" t="s">
        <v>35</v>
      </c>
      <c r="E372" s="2" t="n">
        <v>1.85</v>
      </c>
      <c r="F372" s="2" t="n">
        <v>0.8104</v>
      </c>
      <c r="G372" s="2" t="n">
        <v>0.3938</v>
      </c>
      <c r="H372" s="2" t="n">
        <v>0.7068</v>
      </c>
      <c r="I372" s="2" t="n">
        <v>0.5082</v>
      </c>
      <c r="J372" s="2" t="n">
        <v>0.184</v>
      </c>
    </row>
    <row r="373" customFormat="false" ht="15" hidden="false" customHeight="false" outlineLevel="0" collapsed="false">
      <c r="A373" s="2" t="s">
        <v>421</v>
      </c>
      <c r="B373" s="2" t="n">
        <v>500</v>
      </c>
      <c r="C373" s="2" t="s">
        <v>410</v>
      </c>
      <c r="D373" s="2" t="s">
        <v>35</v>
      </c>
      <c r="E373" s="2" t="n">
        <v>2.4</v>
      </c>
      <c r="F373" s="2" t="n">
        <v>0.8486</v>
      </c>
      <c r="G373" s="2" t="n">
        <v>0.4142</v>
      </c>
      <c r="H373" s="2" t="n">
        <v>0.7508</v>
      </c>
      <c r="I373" s="2" t="n">
        <v>0.5469</v>
      </c>
      <c r="J373" s="2" t="n">
        <v>0.2029</v>
      </c>
    </row>
    <row r="374" customFormat="false" ht="15" hidden="false" customHeight="false" outlineLevel="0" collapsed="false">
      <c r="A374" s="2" t="s">
        <v>422</v>
      </c>
      <c r="B374" s="2" t="n">
        <v>500</v>
      </c>
      <c r="C374" s="2" t="s">
        <v>410</v>
      </c>
      <c r="D374" s="2" t="s">
        <v>42</v>
      </c>
      <c r="E374" s="2" t="n">
        <v>0.55</v>
      </c>
      <c r="F374" s="2" t="n">
        <v>0.9765</v>
      </c>
      <c r="G374" s="2" t="n">
        <v>0.5133</v>
      </c>
      <c r="H374" s="2" t="n">
        <v>0.9289</v>
      </c>
      <c r="I374" s="2" t="n">
        <v>0.7382</v>
      </c>
      <c r="J374" s="2" t="n">
        <v>0.3446</v>
      </c>
    </row>
    <row r="375" customFormat="false" ht="15" hidden="false" customHeight="false" outlineLevel="0" collapsed="false">
      <c r="A375" s="2" t="s">
        <v>423</v>
      </c>
      <c r="B375" s="2" t="n">
        <v>500</v>
      </c>
      <c r="C375" s="2" t="s">
        <v>410</v>
      </c>
      <c r="D375" s="2" t="s">
        <v>42</v>
      </c>
      <c r="E375" s="2" t="n">
        <v>0.8</v>
      </c>
      <c r="F375" s="2" t="n">
        <v>0.9765</v>
      </c>
      <c r="G375" s="2" t="n">
        <v>0.5135</v>
      </c>
      <c r="H375" s="2" t="n">
        <v>0.9289</v>
      </c>
      <c r="I375" s="2" t="n">
        <v>0.7381</v>
      </c>
      <c r="J375" s="2" t="n">
        <v>0.3448</v>
      </c>
    </row>
    <row r="376" customFormat="false" ht="15" hidden="false" customHeight="false" outlineLevel="0" collapsed="false">
      <c r="A376" s="2" t="s">
        <v>424</v>
      </c>
      <c r="B376" s="2" t="n">
        <v>500</v>
      </c>
      <c r="C376" s="2" t="s">
        <v>410</v>
      </c>
      <c r="D376" s="2" t="s">
        <v>42</v>
      </c>
      <c r="E376" s="2" t="n">
        <v>1</v>
      </c>
      <c r="F376" s="2" t="n">
        <v>0.9765</v>
      </c>
      <c r="G376" s="2" t="n">
        <v>0.5139</v>
      </c>
      <c r="H376" s="2" t="n">
        <v>0.9289</v>
      </c>
      <c r="I376" s="2" t="n">
        <v>0.7381</v>
      </c>
      <c r="J376" s="2" t="n">
        <v>0.3452</v>
      </c>
    </row>
    <row r="377" customFormat="false" ht="15" hidden="false" customHeight="false" outlineLevel="0" collapsed="false">
      <c r="A377" s="2" t="s">
        <v>425</v>
      </c>
      <c r="B377" s="2" t="n">
        <v>500</v>
      </c>
      <c r="C377" s="2" t="s">
        <v>410</v>
      </c>
      <c r="D377" s="2" t="s">
        <v>42</v>
      </c>
      <c r="E377" s="2" t="n">
        <v>1.3</v>
      </c>
      <c r="F377" s="2" t="n">
        <v>0.9765</v>
      </c>
      <c r="G377" s="2" t="n">
        <v>0.5146</v>
      </c>
      <c r="H377" s="2" t="n">
        <v>0.9291</v>
      </c>
      <c r="I377" s="2" t="n">
        <v>0.7383</v>
      </c>
      <c r="J377" s="2" t="n">
        <v>0.3459</v>
      </c>
    </row>
    <row r="378" customFormat="false" ht="15" hidden="false" customHeight="false" outlineLevel="0" collapsed="false">
      <c r="A378" s="2" t="s">
        <v>426</v>
      </c>
      <c r="B378" s="2" t="n">
        <v>500</v>
      </c>
      <c r="C378" s="2" t="s">
        <v>410</v>
      </c>
      <c r="D378" s="2" t="s">
        <v>42</v>
      </c>
      <c r="E378" s="2" t="n">
        <v>1.85</v>
      </c>
      <c r="F378" s="2" t="n">
        <v>0.9765</v>
      </c>
      <c r="G378" s="2" t="n">
        <v>0.5159</v>
      </c>
      <c r="H378" s="2" t="n">
        <v>0.9301</v>
      </c>
      <c r="I378" s="2" t="n">
        <v>0.7386</v>
      </c>
      <c r="J378" s="2" t="n">
        <v>0.348</v>
      </c>
    </row>
    <row r="379" customFormat="false" ht="15" hidden="false" customHeight="false" outlineLevel="0" collapsed="false">
      <c r="A379" s="2" t="s">
        <v>427</v>
      </c>
      <c r="B379" s="2" t="n">
        <v>500</v>
      </c>
      <c r="C379" s="2" t="s">
        <v>410</v>
      </c>
      <c r="D379" s="2" t="s">
        <v>42</v>
      </c>
      <c r="E379" s="2" t="n">
        <v>2.4</v>
      </c>
      <c r="F379" s="2" t="n">
        <v>0.9765</v>
      </c>
      <c r="G379" s="2" t="n">
        <v>0.5168</v>
      </c>
      <c r="H379" s="2" t="n">
        <v>0.9307</v>
      </c>
      <c r="I379" s="2" t="n">
        <v>0.7391</v>
      </c>
      <c r="J379" s="2" t="n">
        <v>0.3499</v>
      </c>
    </row>
    <row r="380" customFormat="false" ht="15" hidden="false" customHeight="false" outlineLevel="0" collapsed="false">
      <c r="A380" s="2" t="s">
        <v>428</v>
      </c>
      <c r="B380" s="2" t="n">
        <v>480</v>
      </c>
      <c r="C380" s="2" t="s">
        <v>429</v>
      </c>
      <c r="D380" s="2" t="s">
        <v>28</v>
      </c>
      <c r="E380" s="2" t="n">
        <v>0.55</v>
      </c>
      <c r="F380" s="2" t="n">
        <v>0.5946</v>
      </c>
      <c r="G380" s="2" t="n">
        <v>0.2453</v>
      </c>
      <c r="H380" s="2" t="n">
        <v>0.4779</v>
      </c>
      <c r="I380" s="2" t="n">
        <v>0.3432</v>
      </c>
      <c r="J380" s="2" t="n">
        <v>0.0907</v>
      </c>
    </row>
    <row r="381" customFormat="false" ht="15" hidden="false" customHeight="false" outlineLevel="0" collapsed="false">
      <c r="A381" s="2" t="s">
        <v>430</v>
      </c>
      <c r="B381" s="2" t="n">
        <v>480</v>
      </c>
      <c r="C381" s="2" t="s">
        <v>429</v>
      </c>
      <c r="D381" s="2" t="s">
        <v>28</v>
      </c>
      <c r="E381" s="2" t="n">
        <v>0.8</v>
      </c>
      <c r="F381" s="2" t="n">
        <v>0.6414</v>
      </c>
      <c r="G381" s="2" t="n">
        <v>0.2701</v>
      </c>
      <c r="H381" s="2" t="n">
        <v>0.532</v>
      </c>
      <c r="I381" s="2" t="n">
        <v>0.3866</v>
      </c>
      <c r="J381" s="2" t="n">
        <v>0.1062</v>
      </c>
    </row>
    <row r="382" customFormat="false" ht="15" hidden="false" customHeight="false" outlineLevel="0" collapsed="false">
      <c r="A382" s="2" t="s">
        <v>431</v>
      </c>
      <c r="B382" s="2" t="n">
        <v>480</v>
      </c>
      <c r="C382" s="2" t="s">
        <v>429</v>
      </c>
      <c r="D382" s="2" t="s">
        <v>28</v>
      </c>
      <c r="E382" s="2" t="n">
        <v>1</v>
      </c>
      <c r="F382" s="2" t="n">
        <v>0.6724</v>
      </c>
      <c r="G382" s="2" t="n">
        <v>0.2856</v>
      </c>
      <c r="H382" s="2" t="n">
        <v>0.5668</v>
      </c>
      <c r="I382" s="2" t="n">
        <v>0.4157</v>
      </c>
      <c r="J382" s="2" t="n">
        <v>0.1169</v>
      </c>
    </row>
    <row r="383" customFormat="false" ht="15" hidden="false" customHeight="false" outlineLevel="0" collapsed="false">
      <c r="A383" s="2" t="s">
        <v>432</v>
      </c>
      <c r="B383" s="2" t="n">
        <v>480</v>
      </c>
      <c r="C383" s="2" t="s">
        <v>429</v>
      </c>
      <c r="D383" s="2" t="s">
        <v>28</v>
      </c>
      <c r="E383" s="2" t="n">
        <v>1.3</v>
      </c>
      <c r="F383" s="2" t="n">
        <v>0.7159</v>
      </c>
      <c r="G383" s="2" t="n">
        <v>0.3046</v>
      </c>
      <c r="H383" s="2" t="n">
        <v>0.6139</v>
      </c>
      <c r="I383" s="2" t="n">
        <v>0.4562</v>
      </c>
      <c r="J383" s="2" t="n">
        <v>0.1311</v>
      </c>
    </row>
    <row r="384" customFormat="false" ht="15" hidden="false" customHeight="false" outlineLevel="0" collapsed="false">
      <c r="A384" s="2" t="s">
        <v>433</v>
      </c>
      <c r="B384" s="2" t="n">
        <v>480</v>
      </c>
      <c r="C384" s="2" t="s">
        <v>429</v>
      </c>
      <c r="D384" s="2" t="s">
        <v>28</v>
      </c>
      <c r="E384" s="2" t="n">
        <v>1.85</v>
      </c>
      <c r="F384" s="2" t="n">
        <v>0.7758</v>
      </c>
      <c r="G384" s="2" t="n">
        <v>0.3329</v>
      </c>
      <c r="H384" s="2" t="n">
        <v>0.6798</v>
      </c>
      <c r="I384" s="2" t="n">
        <v>0.5115</v>
      </c>
      <c r="J384" s="2" t="n">
        <v>0.1519</v>
      </c>
    </row>
    <row r="385" customFormat="false" ht="15" hidden="false" customHeight="false" outlineLevel="0" collapsed="false">
      <c r="A385" s="2" t="s">
        <v>434</v>
      </c>
      <c r="B385" s="2" t="n">
        <v>480</v>
      </c>
      <c r="C385" s="2" t="s">
        <v>429</v>
      </c>
      <c r="D385" s="2" t="s">
        <v>28</v>
      </c>
      <c r="E385" s="2" t="n">
        <v>2.4</v>
      </c>
      <c r="F385" s="2" t="n">
        <v>0.82</v>
      </c>
      <c r="G385" s="2" t="n">
        <v>0.3529</v>
      </c>
      <c r="H385" s="2" t="n">
        <v>0.7279</v>
      </c>
      <c r="I385" s="2" t="n">
        <v>0.5519</v>
      </c>
      <c r="J385" s="2" t="n">
        <v>0.1668</v>
      </c>
    </row>
    <row r="386" customFormat="false" ht="15" hidden="false" customHeight="false" outlineLevel="0" collapsed="false">
      <c r="A386" s="2" t="s">
        <v>435</v>
      </c>
      <c r="B386" s="2" t="n">
        <v>480</v>
      </c>
      <c r="C386" s="2" t="s">
        <v>429</v>
      </c>
      <c r="D386" s="2" t="s">
        <v>35</v>
      </c>
      <c r="E386" s="2" t="n">
        <v>0.55</v>
      </c>
      <c r="F386" s="2" t="n">
        <v>0.6229</v>
      </c>
      <c r="G386" s="2" t="n">
        <v>0.2845</v>
      </c>
      <c r="H386" s="2" t="n">
        <v>0.4902</v>
      </c>
      <c r="I386" s="2" t="n">
        <v>0.3306</v>
      </c>
      <c r="J386" s="2" t="n">
        <v>0.1016</v>
      </c>
    </row>
    <row r="387" customFormat="false" ht="15" hidden="false" customHeight="false" outlineLevel="0" collapsed="false">
      <c r="A387" s="2" t="s">
        <v>436</v>
      </c>
      <c r="B387" s="2" t="n">
        <v>480</v>
      </c>
      <c r="C387" s="2" t="s">
        <v>429</v>
      </c>
      <c r="D387" s="2" t="s">
        <v>35</v>
      </c>
      <c r="E387" s="2" t="n">
        <v>0.8</v>
      </c>
      <c r="F387" s="2" t="n">
        <v>0.6698</v>
      </c>
      <c r="G387" s="2" t="n">
        <v>0.3132</v>
      </c>
      <c r="H387" s="2" t="n">
        <v>0.5467</v>
      </c>
      <c r="I387" s="2" t="n">
        <v>0.3759</v>
      </c>
      <c r="J387" s="2" t="n">
        <v>0.1214</v>
      </c>
    </row>
    <row r="388" customFormat="false" ht="15" hidden="false" customHeight="false" outlineLevel="0" collapsed="false">
      <c r="A388" s="2" t="s">
        <v>437</v>
      </c>
      <c r="B388" s="2" t="n">
        <v>480</v>
      </c>
      <c r="C388" s="2" t="s">
        <v>429</v>
      </c>
      <c r="D388" s="2" t="s">
        <v>35</v>
      </c>
      <c r="E388" s="2" t="n">
        <v>1</v>
      </c>
      <c r="F388" s="2" t="n">
        <v>0.7021</v>
      </c>
      <c r="G388" s="2" t="n">
        <v>0.3312</v>
      </c>
      <c r="H388" s="2" t="n">
        <v>0.5847</v>
      </c>
      <c r="I388" s="2" t="n">
        <v>0.4073</v>
      </c>
      <c r="J388" s="2" t="n">
        <v>0.1347</v>
      </c>
    </row>
    <row r="389" customFormat="false" ht="15" hidden="false" customHeight="false" outlineLevel="0" collapsed="false">
      <c r="A389" s="2" t="s">
        <v>438</v>
      </c>
      <c r="B389" s="2" t="n">
        <v>480</v>
      </c>
      <c r="C389" s="2" t="s">
        <v>429</v>
      </c>
      <c r="D389" s="2" t="s">
        <v>35</v>
      </c>
      <c r="E389" s="2" t="n">
        <v>1.3</v>
      </c>
      <c r="F389" s="2" t="n">
        <v>0.7453</v>
      </c>
      <c r="G389" s="2" t="n">
        <v>0.3521</v>
      </c>
      <c r="H389" s="2" t="n">
        <v>0.6335</v>
      </c>
      <c r="I389" s="2" t="n">
        <v>0.4494</v>
      </c>
      <c r="J389" s="2" t="n">
        <v>0.1521</v>
      </c>
    </row>
    <row r="390" customFormat="false" ht="15" hidden="false" customHeight="false" outlineLevel="0" collapsed="false">
      <c r="A390" s="2" t="s">
        <v>439</v>
      </c>
      <c r="B390" s="2" t="n">
        <v>480</v>
      </c>
      <c r="C390" s="2" t="s">
        <v>429</v>
      </c>
      <c r="D390" s="2" t="s">
        <v>35</v>
      </c>
      <c r="E390" s="2" t="n">
        <v>1.85</v>
      </c>
      <c r="F390" s="2" t="n">
        <v>0.8037</v>
      </c>
      <c r="G390" s="2" t="n">
        <v>0.3834</v>
      </c>
      <c r="H390" s="2" t="n">
        <v>0.7005</v>
      </c>
      <c r="I390" s="2" t="n">
        <v>0.5056</v>
      </c>
      <c r="J390" s="2" t="n">
        <v>0.1782</v>
      </c>
    </row>
    <row r="391" customFormat="false" ht="15" hidden="false" customHeight="false" outlineLevel="0" collapsed="false">
      <c r="A391" s="2" t="s">
        <v>440</v>
      </c>
      <c r="B391" s="2" t="n">
        <v>480</v>
      </c>
      <c r="C391" s="2" t="s">
        <v>429</v>
      </c>
      <c r="D391" s="2" t="s">
        <v>35</v>
      </c>
      <c r="E391" s="2" t="n">
        <v>2.4</v>
      </c>
      <c r="F391" s="2" t="n">
        <v>0.845</v>
      </c>
      <c r="G391" s="2" t="n">
        <v>0.4038</v>
      </c>
      <c r="H391" s="2" t="n">
        <v>0.7477</v>
      </c>
      <c r="I391" s="2" t="n">
        <v>0.5453</v>
      </c>
      <c r="J391" s="2" t="n">
        <v>0.1955</v>
      </c>
    </row>
    <row r="392" customFormat="false" ht="15" hidden="false" customHeight="false" outlineLevel="0" collapsed="false">
      <c r="A392" s="2" t="s">
        <v>441</v>
      </c>
      <c r="B392" s="2" t="n">
        <v>480</v>
      </c>
      <c r="C392" s="2" t="s">
        <v>429</v>
      </c>
      <c r="D392" s="2" t="s">
        <v>42</v>
      </c>
      <c r="E392" s="2" t="n">
        <v>0.55</v>
      </c>
      <c r="F392" s="2" t="n">
        <v>0.9732</v>
      </c>
      <c r="G392" s="2" t="n">
        <v>0.4966</v>
      </c>
      <c r="H392" s="2" t="n">
        <v>0.9217</v>
      </c>
      <c r="I392" s="2" t="n">
        <v>0.7313</v>
      </c>
      <c r="J392" s="2" t="n">
        <v>0.3238</v>
      </c>
    </row>
    <row r="393" customFormat="false" ht="15" hidden="false" customHeight="false" outlineLevel="0" collapsed="false">
      <c r="A393" s="2" t="s">
        <v>442</v>
      </c>
      <c r="B393" s="2" t="n">
        <v>480</v>
      </c>
      <c r="C393" s="2" t="s">
        <v>429</v>
      </c>
      <c r="D393" s="2" t="s">
        <v>42</v>
      </c>
      <c r="E393" s="2" t="n">
        <v>0.8</v>
      </c>
      <c r="F393" s="2" t="n">
        <v>0.9732</v>
      </c>
      <c r="G393" s="2" t="n">
        <v>0.4969</v>
      </c>
      <c r="H393" s="2" t="n">
        <v>0.9217</v>
      </c>
      <c r="I393" s="2" t="n">
        <v>0.7312</v>
      </c>
      <c r="J393" s="2" t="n">
        <v>0.3241</v>
      </c>
    </row>
    <row r="394" customFormat="false" ht="15" hidden="false" customHeight="false" outlineLevel="0" collapsed="false">
      <c r="A394" s="2" t="s">
        <v>443</v>
      </c>
      <c r="B394" s="2" t="n">
        <v>480</v>
      </c>
      <c r="C394" s="2" t="s">
        <v>429</v>
      </c>
      <c r="D394" s="2" t="s">
        <v>42</v>
      </c>
      <c r="E394" s="2" t="n">
        <v>1</v>
      </c>
      <c r="F394" s="2" t="n">
        <v>0.9732</v>
      </c>
      <c r="G394" s="2" t="n">
        <v>0.4971</v>
      </c>
      <c r="H394" s="2" t="n">
        <v>0.9217</v>
      </c>
      <c r="I394" s="2" t="n">
        <v>0.7312</v>
      </c>
      <c r="J394" s="2" t="n">
        <v>0.3243</v>
      </c>
    </row>
    <row r="395" customFormat="false" ht="15" hidden="false" customHeight="false" outlineLevel="0" collapsed="false">
      <c r="A395" s="2" t="s">
        <v>444</v>
      </c>
      <c r="B395" s="2" t="n">
        <v>480</v>
      </c>
      <c r="C395" s="2" t="s">
        <v>429</v>
      </c>
      <c r="D395" s="2" t="s">
        <v>42</v>
      </c>
      <c r="E395" s="2" t="n">
        <v>1.3</v>
      </c>
      <c r="F395" s="2" t="n">
        <v>0.9732</v>
      </c>
      <c r="G395" s="2" t="n">
        <v>0.4978</v>
      </c>
      <c r="H395" s="2" t="n">
        <v>0.9218</v>
      </c>
      <c r="I395" s="2" t="n">
        <v>0.7313</v>
      </c>
      <c r="J395" s="2" t="n">
        <v>0.3251</v>
      </c>
    </row>
    <row r="396" customFormat="false" ht="15" hidden="false" customHeight="false" outlineLevel="0" collapsed="false">
      <c r="A396" s="2" t="s">
        <v>445</v>
      </c>
      <c r="B396" s="2" t="n">
        <v>480</v>
      </c>
      <c r="C396" s="2" t="s">
        <v>429</v>
      </c>
      <c r="D396" s="2" t="s">
        <v>42</v>
      </c>
      <c r="E396" s="2" t="n">
        <v>1.85</v>
      </c>
      <c r="F396" s="2" t="n">
        <v>0.9732</v>
      </c>
      <c r="G396" s="2" t="n">
        <v>0.4993</v>
      </c>
      <c r="H396" s="2" t="n">
        <v>0.9232</v>
      </c>
      <c r="I396" s="2" t="n">
        <v>0.7318</v>
      </c>
      <c r="J396" s="2" t="n">
        <v>0.3272</v>
      </c>
    </row>
    <row r="397" customFormat="false" ht="15" hidden="false" customHeight="false" outlineLevel="0" collapsed="false">
      <c r="A397" s="2" t="s">
        <v>446</v>
      </c>
      <c r="B397" s="2" t="n">
        <v>480</v>
      </c>
      <c r="C397" s="2" t="s">
        <v>429</v>
      </c>
      <c r="D397" s="2" t="s">
        <v>42</v>
      </c>
      <c r="E397" s="2" t="n">
        <v>2.4</v>
      </c>
      <c r="F397" s="2" t="n">
        <v>0.9732</v>
      </c>
      <c r="G397" s="2" t="n">
        <v>0.5007</v>
      </c>
      <c r="H397" s="2" t="n">
        <v>0.9243</v>
      </c>
      <c r="I397" s="2" t="n">
        <v>0.7323</v>
      </c>
      <c r="J397" s="2" t="n">
        <v>0.3293</v>
      </c>
    </row>
    <row r="398" customFormat="false" ht="15" hidden="false" customHeight="false" outlineLevel="0" collapsed="false">
      <c r="A398" s="2" t="s">
        <v>447</v>
      </c>
      <c r="B398" s="2" t="n">
        <v>460</v>
      </c>
      <c r="C398" s="2" t="s">
        <v>448</v>
      </c>
      <c r="D398" s="2" t="s">
        <v>28</v>
      </c>
      <c r="E398" s="2" t="n">
        <v>0.55</v>
      </c>
      <c r="F398" s="2" t="n">
        <v>0.5824</v>
      </c>
      <c r="G398" s="2" t="n">
        <v>0.234</v>
      </c>
      <c r="H398" s="2" t="n">
        <v>0.4658</v>
      </c>
      <c r="I398" s="2" t="n">
        <v>0.3385</v>
      </c>
      <c r="J398" s="2" t="n">
        <v>0.0862</v>
      </c>
    </row>
    <row r="399" customFormat="false" ht="15" hidden="false" customHeight="false" outlineLevel="0" collapsed="false">
      <c r="A399" s="2" t="s">
        <v>449</v>
      </c>
      <c r="B399" s="2" t="n">
        <v>460</v>
      </c>
      <c r="C399" s="2" t="s">
        <v>448</v>
      </c>
      <c r="D399" s="2" t="s">
        <v>28</v>
      </c>
      <c r="E399" s="2" t="n">
        <v>0.8</v>
      </c>
      <c r="F399" s="2" t="n">
        <v>0.6307</v>
      </c>
      <c r="G399" s="2" t="n">
        <v>0.2588</v>
      </c>
      <c r="H399" s="2" t="n">
        <v>0.5213</v>
      </c>
      <c r="I399" s="2" t="n">
        <v>0.3828</v>
      </c>
      <c r="J399" s="2" t="n">
        <v>0.1019</v>
      </c>
    </row>
    <row r="400" customFormat="false" ht="15" hidden="false" customHeight="false" outlineLevel="0" collapsed="false">
      <c r="A400" s="2" t="s">
        <v>450</v>
      </c>
      <c r="B400" s="2" t="n">
        <v>460</v>
      </c>
      <c r="C400" s="2" t="s">
        <v>448</v>
      </c>
      <c r="D400" s="2" t="s">
        <v>28</v>
      </c>
      <c r="E400" s="2" t="n">
        <v>1</v>
      </c>
      <c r="F400" s="2" t="n">
        <v>0.6625</v>
      </c>
      <c r="G400" s="2" t="n">
        <v>0.2741</v>
      </c>
      <c r="H400" s="2" t="n">
        <v>0.5566</v>
      </c>
      <c r="I400" s="2" t="n">
        <v>0.412</v>
      </c>
      <c r="J400" s="2" t="n">
        <v>0.1117</v>
      </c>
    </row>
    <row r="401" customFormat="false" ht="15" hidden="false" customHeight="false" outlineLevel="0" collapsed="false">
      <c r="A401" s="2" t="s">
        <v>451</v>
      </c>
      <c r="B401" s="2" t="n">
        <v>460</v>
      </c>
      <c r="C401" s="2" t="s">
        <v>448</v>
      </c>
      <c r="D401" s="2" t="s">
        <v>28</v>
      </c>
      <c r="E401" s="2" t="n">
        <v>1.3</v>
      </c>
      <c r="F401" s="2" t="n">
        <v>0.7071</v>
      </c>
      <c r="G401" s="2" t="n">
        <v>0.2942</v>
      </c>
      <c r="H401" s="2" t="n">
        <v>0.606</v>
      </c>
      <c r="I401" s="2" t="n">
        <v>0.4532</v>
      </c>
      <c r="J401" s="2" t="n">
        <v>0.1252</v>
      </c>
    </row>
    <row r="402" customFormat="false" ht="15" hidden="false" customHeight="false" outlineLevel="0" collapsed="false">
      <c r="A402" s="2" t="s">
        <v>452</v>
      </c>
      <c r="B402" s="2" t="n">
        <v>460</v>
      </c>
      <c r="C402" s="2" t="s">
        <v>448</v>
      </c>
      <c r="D402" s="2" t="s">
        <v>28</v>
      </c>
      <c r="E402" s="2" t="n">
        <v>1.85</v>
      </c>
      <c r="F402" s="2" t="n">
        <v>0.7671</v>
      </c>
      <c r="G402" s="2" t="n">
        <v>0.3228</v>
      </c>
      <c r="H402" s="2" t="n">
        <v>0.6711</v>
      </c>
      <c r="I402" s="2" t="n">
        <v>0.5077</v>
      </c>
      <c r="J402" s="2" t="n">
        <v>0.1457</v>
      </c>
    </row>
    <row r="403" customFormat="false" ht="15" hidden="false" customHeight="false" outlineLevel="0" collapsed="false">
      <c r="A403" s="2" t="s">
        <v>453</v>
      </c>
      <c r="B403" s="2" t="n">
        <v>460</v>
      </c>
      <c r="C403" s="2" t="s">
        <v>448</v>
      </c>
      <c r="D403" s="2" t="s">
        <v>28</v>
      </c>
      <c r="E403" s="2" t="n">
        <v>2.4</v>
      </c>
      <c r="F403" s="2" t="n">
        <v>0.8125</v>
      </c>
      <c r="G403" s="2" t="n">
        <v>0.3439</v>
      </c>
      <c r="H403" s="2" t="n">
        <v>0.7216</v>
      </c>
      <c r="I403" s="2" t="n">
        <v>0.5482</v>
      </c>
      <c r="J403" s="2" t="n">
        <v>0.1598</v>
      </c>
    </row>
    <row r="404" customFormat="false" ht="15" hidden="false" customHeight="false" outlineLevel="0" collapsed="false">
      <c r="A404" s="2" t="s">
        <v>454</v>
      </c>
      <c r="B404" s="2" t="n">
        <v>460</v>
      </c>
      <c r="C404" s="2" t="s">
        <v>448</v>
      </c>
      <c r="D404" s="2" t="s">
        <v>35</v>
      </c>
      <c r="E404" s="2" t="n">
        <v>0.55</v>
      </c>
      <c r="F404" s="2" t="n">
        <v>0.6092</v>
      </c>
      <c r="G404" s="2" t="n">
        <v>0.2721</v>
      </c>
      <c r="H404" s="2" t="n">
        <v>0.4754</v>
      </c>
      <c r="I404" s="2" t="n">
        <v>0.3235</v>
      </c>
      <c r="J404" s="2" t="n">
        <v>0.096</v>
      </c>
    </row>
    <row r="405" customFormat="false" ht="15" hidden="false" customHeight="false" outlineLevel="0" collapsed="false">
      <c r="A405" s="2" t="s">
        <v>455</v>
      </c>
      <c r="B405" s="2" t="n">
        <v>460</v>
      </c>
      <c r="C405" s="2" t="s">
        <v>448</v>
      </c>
      <c r="D405" s="2" t="s">
        <v>35</v>
      </c>
      <c r="E405" s="2" t="n">
        <v>0.8</v>
      </c>
      <c r="F405" s="2" t="n">
        <v>0.6583</v>
      </c>
      <c r="G405" s="2" t="n">
        <v>0.3012</v>
      </c>
      <c r="H405" s="2" t="n">
        <v>0.5354</v>
      </c>
      <c r="I405" s="2" t="n">
        <v>0.3703</v>
      </c>
      <c r="J405" s="2" t="n">
        <v>0.1155</v>
      </c>
    </row>
    <row r="406" customFormat="false" ht="15" hidden="false" customHeight="false" outlineLevel="0" collapsed="false">
      <c r="A406" s="2" t="s">
        <v>456</v>
      </c>
      <c r="B406" s="2" t="n">
        <v>460</v>
      </c>
      <c r="C406" s="2" t="s">
        <v>448</v>
      </c>
      <c r="D406" s="2" t="s">
        <v>35</v>
      </c>
      <c r="E406" s="2" t="n">
        <v>1</v>
      </c>
      <c r="F406" s="2" t="n">
        <v>0.6906</v>
      </c>
      <c r="G406" s="2" t="n">
        <v>0.3182</v>
      </c>
      <c r="H406" s="2" t="n">
        <v>0.5728</v>
      </c>
      <c r="I406" s="2" t="n">
        <v>0.4021</v>
      </c>
      <c r="J406" s="2" t="n">
        <v>0.1279</v>
      </c>
    </row>
    <row r="407" customFormat="false" ht="15" hidden="false" customHeight="false" outlineLevel="0" collapsed="false">
      <c r="A407" s="2" t="s">
        <v>457</v>
      </c>
      <c r="B407" s="2" t="n">
        <v>460</v>
      </c>
      <c r="C407" s="2" t="s">
        <v>448</v>
      </c>
      <c r="D407" s="2" t="s">
        <v>35</v>
      </c>
      <c r="E407" s="2" t="n">
        <v>1.3</v>
      </c>
      <c r="F407" s="2" t="n">
        <v>0.7343</v>
      </c>
      <c r="G407" s="2" t="n">
        <v>0.3388</v>
      </c>
      <c r="H407" s="2" t="n">
        <v>0.6227</v>
      </c>
      <c r="I407" s="2" t="n">
        <v>0.444</v>
      </c>
      <c r="J407" s="2" t="n">
        <v>0.1431</v>
      </c>
    </row>
    <row r="408" customFormat="false" ht="15" hidden="false" customHeight="false" outlineLevel="0" collapsed="false">
      <c r="A408" s="2" t="s">
        <v>458</v>
      </c>
      <c r="B408" s="2" t="n">
        <v>460</v>
      </c>
      <c r="C408" s="2" t="s">
        <v>448</v>
      </c>
      <c r="D408" s="2" t="s">
        <v>35</v>
      </c>
      <c r="E408" s="2" t="n">
        <v>1.85</v>
      </c>
      <c r="F408" s="2" t="n">
        <v>0.794</v>
      </c>
      <c r="G408" s="2" t="n">
        <v>0.3708</v>
      </c>
      <c r="H408" s="2" t="n">
        <v>0.6901</v>
      </c>
      <c r="I408" s="2" t="n">
        <v>0.5003</v>
      </c>
      <c r="J408" s="2" t="n">
        <v>0.1692</v>
      </c>
    </row>
    <row r="409" customFormat="false" ht="15" hidden="false" customHeight="false" outlineLevel="0" collapsed="false">
      <c r="A409" s="2" t="s">
        <v>459</v>
      </c>
      <c r="B409" s="2" t="n">
        <v>460</v>
      </c>
      <c r="C409" s="2" t="s">
        <v>448</v>
      </c>
      <c r="D409" s="2" t="s">
        <v>35</v>
      </c>
      <c r="E409" s="2" t="n">
        <v>2.4</v>
      </c>
      <c r="F409" s="2" t="n">
        <v>0.8379</v>
      </c>
      <c r="G409" s="2" t="n">
        <v>0.3926</v>
      </c>
      <c r="H409" s="2" t="n">
        <v>0.7402</v>
      </c>
      <c r="I409" s="2" t="n">
        <v>0.5411</v>
      </c>
      <c r="J409" s="2" t="n">
        <v>0.1859</v>
      </c>
    </row>
    <row r="410" customFormat="false" ht="15" hidden="false" customHeight="false" outlineLevel="0" collapsed="false">
      <c r="A410" s="2" t="s">
        <v>460</v>
      </c>
      <c r="B410" s="2" t="n">
        <v>460</v>
      </c>
      <c r="C410" s="2" t="s">
        <v>448</v>
      </c>
      <c r="D410" s="2" t="s">
        <v>42</v>
      </c>
      <c r="E410" s="2" t="n">
        <v>0.55</v>
      </c>
      <c r="F410" s="2" t="n">
        <v>0.9694</v>
      </c>
      <c r="G410" s="2" t="n">
        <v>0.4787</v>
      </c>
      <c r="H410" s="2" t="n">
        <v>0.9136</v>
      </c>
      <c r="I410" s="2" t="n">
        <v>0.7239</v>
      </c>
      <c r="J410" s="2" t="n">
        <v>0.3016</v>
      </c>
    </row>
    <row r="411" customFormat="false" ht="15" hidden="false" customHeight="false" outlineLevel="0" collapsed="false">
      <c r="A411" s="2" t="s">
        <v>461</v>
      </c>
      <c r="B411" s="2" t="n">
        <v>460</v>
      </c>
      <c r="C411" s="2" t="s">
        <v>448</v>
      </c>
      <c r="D411" s="2" t="s">
        <v>42</v>
      </c>
      <c r="E411" s="2" t="n">
        <v>0.8</v>
      </c>
      <c r="F411" s="2" t="n">
        <v>0.9694</v>
      </c>
      <c r="G411" s="2" t="n">
        <v>0.4788</v>
      </c>
      <c r="H411" s="2" t="n">
        <v>0.9136</v>
      </c>
      <c r="I411" s="2" t="n">
        <v>0.7239</v>
      </c>
      <c r="J411" s="2" t="n">
        <v>0.3018</v>
      </c>
    </row>
    <row r="412" customFormat="false" ht="15" hidden="false" customHeight="false" outlineLevel="0" collapsed="false">
      <c r="A412" s="2" t="s">
        <v>462</v>
      </c>
      <c r="B412" s="2" t="n">
        <v>460</v>
      </c>
      <c r="C412" s="2" t="s">
        <v>448</v>
      </c>
      <c r="D412" s="2" t="s">
        <v>42</v>
      </c>
      <c r="E412" s="2" t="n">
        <v>1</v>
      </c>
      <c r="F412" s="2" t="n">
        <v>0.9694</v>
      </c>
      <c r="G412" s="2" t="n">
        <v>0.479</v>
      </c>
      <c r="H412" s="2" t="n">
        <v>0.9136</v>
      </c>
      <c r="I412" s="2" t="n">
        <v>0.7239</v>
      </c>
      <c r="J412" s="2" t="n">
        <v>0.3019</v>
      </c>
    </row>
    <row r="413" customFormat="false" ht="15" hidden="false" customHeight="false" outlineLevel="0" collapsed="false">
      <c r="A413" s="2" t="s">
        <v>463</v>
      </c>
      <c r="B413" s="2" t="n">
        <v>460</v>
      </c>
      <c r="C413" s="2" t="s">
        <v>448</v>
      </c>
      <c r="D413" s="2" t="s">
        <v>42</v>
      </c>
      <c r="E413" s="2" t="n">
        <v>1.3</v>
      </c>
      <c r="F413" s="2" t="n">
        <v>0.9694</v>
      </c>
      <c r="G413" s="2" t="n">
        <v>0.4795</v>
      </c>
      <c r="H413" s="2" t="n">
        <v>0.9138</v>
      </c>
      <c r="I413" s="2" t="n">
        <v>0.724</v>
      </c>
      <c r="J413" s="2" t="n">
        <v>0.3027</v>
      </c>
    </row>
    <row r="414" customFormat="false" ht="15" hidden="false" customHeight="false" outlineLevel="0" collapsed="false">
      <c r="A414" s="2" t="s">
        <v>464</v>
      </c>
      <c r="B414" s="2" t="n">
        <v>460</v>
      </c>
      <c r="C414" s="2" t="s">
        <v>448</v>
      </c>
      <c r="D414" s="2" t="s">
        <v>42</v>
      </c>
      <c r="E414" s="2" t="n">
        <v>1.85</v>
      </c>
      <c r="F414" s="2" t="n">
        <v>0.9694</v>
      </c>
      <c r="G414" s="2" t="n">
        <v>0.4812</v>
      </c>
      <c r="H414" s="2" t="n">
        <v>0.9152</v>
      </c>
      <c r="I414" s="2" t="n">
        <v>0.7246</v>
      </c>
      <c r="J414" s="2" t="n">
        <v>0.3048</v>
      </c>
    </row>
    <row r="415" customFormat="false" ht="15" hidden="false" customHeight="false" outlineLevel="0" collapsed="false">
      <c r="A415" s="2" t="s">
        <v>465</v>
      </c>
      <c r="B415" s="2" t="n">
        <v>460</v>
      </c>
      <c r="C415" s="2" t="s">
        <v>448</v>
      </c>
      <c r="D415" s="2" t="s">
        <v>42</v>
      </c>
      <c r="E415" s="2" t="n">
        <v>2.4</v>
      </c>
      <c r="F415" s="2" t="n">
        <v>0.9694</v>
      </c>
      <c r="G415" s="2" t="n">
        <v>0.4825</v>
      </c>
      <c r="H415" s="2" t="n">
        <v>0.9163</v>
      </c>
      <c r="I415" s="2" t="n">
        <v>0.7249</v>
      </c>
      <c r="J415" s="2" t="n">
        <v>0.3067</v>
      </c>
    </row>
    <row r="416" customFormat="false" ht="15" hidden="false" customHeight="false" outlineLevel="0" collapsed="false">
      <c r="A416" s="2" t="s">
        <v>466</v>
      </c>
      <c r="B416" s="2" t="n">
        <v>440</v>
      </c>
      <c r="C416" s="2" t="s">
        <v>467</v>
      </c>
      <c r="D416" s="2" t="s">
        <v>28</v>
      </c>
      <c r="E416" s="2" t="n">
        <v>0.55</v>
      </c>
      <c r="F416" s="2" t="n">
        <v>0.5698</v>
      </c>
      <c r="G416" s="2" t="n">
        <v>0.2218</v>
      </c>
      <c r="H416" s="2" t="n">
        <v>0.4526</v>
      </c>
      <c r="I416" s="2" t="n">
        <v>0.3315</v>
      </c>
      <c r="J416" s="2" t="n">
        <v>0.0806</v>
      </c>
    </row>
    <row r="417" customFormat="false" ht="15" hidden="false" customHeight="false" outlineLevel="0" collapsed="false">
      <c r="A417" s="2" t="s">
        <v>468</v>
      </c>
      <c r="B417" s="2" t="n">
        <v>440</v>
      </c>
      <c r="C417" s="2" t="s">
        <v>467</v>
      </c>
      <c r="D417" s="2" t="s">
        <v>28</v>
      </c>
      <c r="E417" s="2" t="n">
        <v>0.8</v>
      </c>
      <c r="F417" s="2" t="n">
        <v>0.6201</v>
      </c>
      <c r="G417" s="2" t="n">
        <v>0.2481</v>
      </c>
      <c r="H417" s="2" t="n">
        <v>0.5108</v>
      </c>
      <c r="I417" s="2" t="n">
        <v>0.3774</v>
      </c>
      <c r="J417" s="2" t="n">
        <v>0.0961</v>
      </c>
    </row>
    <row r="418" customFormat="false" ht="15" hidden="false" customHeight="false" outlineLevel="0" collapsed="false">
      <c r="A418" s="2" t="s">
        <v>469</v>
      </c>
      <c r="B418" s="2" t="n">
        <v>440</v>
      </c>
      <c r="C418" s="2" t="s">
        <v>467</v>
      </c>
      <c r="D418" s="2" t="s">
        <v>28</v>
      </c>
      <c r="E418" s="2" t="n">
        <v>1</v>
      </c>
      <c r="F418" s="2" t="n">
        <v>0.6531</v>
      </c>
      <c r="G418" s="2" t="n">
        <v>0.2628</v>
      </c>
      <c r="H418" s="2" t="n">
        <v>0.5462</v>
      </c>
      <c r="I418" s="2" t="n">
        <v>0.4067</v>
      </c>
      <c r="J418" s="2" t="n">
        <v>0.1051</v>
      </c>
    </row>
    <row r="419" customFormat="false" ht="15" hidden="false" customHeight="false" outlineLevel="0" collapsed="false">
      <c r="A419" s="2" t="s">
        <v>470</v>
      </c>
      <c r="B419" s="2" t="n">
        <v>440</v>
      </c>
      <c r="C419" s="2" t="s">
        <v>467</v>
      </c>
      <c r="D419" s="2" t="s">
        <v>28</v>
      </c>
      <c r="E419" s="2" t="n">
        <v>1.3</v>
      </c>
      <c r="F419" s="2" t="n">
        <v>0.6958</v>
      </c>
      <c r="G419" s="2" t="n">
        <v>0.282</v>
      </c>
      <c r="H419" s="2" t="n">
        <v>0.5935</v>
      </c>
      <c r="I419" s="2" t="n">
        <v>0.4458</v>
      </c>
      <c r="J419" s="2" t="n">
        <v>0.1174</v>
      </c>
    </row>
    <row r="420" customFormat="false" ht="15" hidden="false" customHeight="false" outlineLevel="0" collapsed="false">
      <c r="A420" s="2" t="s">
        <v>471</v>
      </c>
      <c r="B420" s="2" t="n">
        <v>440</v>
      </c>
      <c r="C420" s="2" t="s">
        <v>467</v>
      </c>
      <c r="D420" s="2" t="s">
        <v>28</v>
      </c>
      <c r="E420" s="2" t="n">
        <v>1.85</v>
      </c>
      <c r="F420" s="2" t="n">
        <v>0.7569</v>
      </c>
      <c r="G420" s="2" t="n">
        <v>0.31</v>
      </c>
      <c r="H420" s="2" t="n">
        <v>0.6603</v>
      </c>
      <c r="I420" s="2" t="n">
        <v>0.5003</v>
      </c>
      <c r="J420" s="2" t="n">
        <v>0.1359</v>
      </c>
    </row>
    <row r="421" customFormat="false" ht="15" hidden="false" customHeight="false" outlineLevel="0" collapsed="false">
      <c r="A421" s="2" t="s">
        <v>472</v>
      </c>
      <c r="B421" s="2" t="n">
        <v>440</v>
      </c>
      <c r="C421" s="2" t="s">
        <v>467</v>
      </c>
      <c r="D421" s="2" t="s">
        <v>28</v>
      </c>
      <c r="E421" s="2" t="n">
        <v>2.4</v>
      </c>
      <c r="F421" s="2" t="n">
        <v>0.8035</v>
      </c>
      <c r="G421" s="2" t="n">
        <v>0.3316</v>
      </c>
      <c r="H421" s="2" t="n">
        <v>0.7102</v>
      </c>
      <c r="I421" s="2" t="n">
        <v>0.541</v>
      </c>
      <c r="J421" s="2" t="n">
        <v>0.1505</v>
      </c>
    </row>
    <row r="422" customFormat="false" ht="15" hidden="false" customHeight="false" outlineLevel="0" collapsed="false">
      <c r="A422" s="2" t="s">
        <v>473</v>
      </c>
      <c r="B422" s="2" t="n">
        <v>440</v>
      </c>
      <c r="C422" s="2" t="s">
        <v>467</v>
      </c>
      <c r="D422" s="2" t="s">
        <v>35</v>
      </c>
      <c r="E422" s="2" t="n">
        <v>0.55</v>
      </c>
      <c r="F422" s="2" t="n">
        <v>0.6012</v>
      </c>
      <c r="G422" s="2" t="n">
        <v>0.2634</v>
      </c>
      <c r="H422" s="2" t="n">
        <v>0.4678</v>
      </c>
      <c r="I422" s="2" t="n">
        <v>0.3204</v>
      </c>
      <c r="J422" s="2" t="n">
        <v>0.0915</v>
      </c>
    </row>
    <row r="423" customFormat="false" ht="15" hidden="false" customHeight="false" outlineLevel="0" collapsed="false">
      <c r="A423" s="2" t="s">
        <v>474</v>
      </c>
      <c r="B423" s="2" t="n">
        <v>440</v>
      </c>
      <c r="C423" s="2" t="s">
        <v>467</v>
      </c>
      <c r="D423" s="2" t="s">
        <v>35</v>
      </c>
      <c r="E423" s="2" t="n">
        <v>0.8</v>
      </c>
      <c r="F423" s="2" t="n">
        <v>0.6529</v>
      </c>
      <c r="G423" s="2" t="n">
        <v>0.293</v>
      </c>
      <c r="H423" s="2" t="n">
        <v>0.5301</v>
      </c>
      <c r="I423" s="2" t="n">
        <v>0.3694</v>
      </c>
      <c r="J423" s="2" t="n">
        <v>0.1105</v>
      </c>
    </row>
    <row r="424" customFormat="false" ht="15" hidden="false" customHeight="false" outlineLevel="0" collapsed="false">
      <c r="A424" s="2" t="s">
        <v>475</v>
      </c>
      <c r="B424" s="2" t="n">
        <v>440</v>
      </c>
      <c r="C424" s="2" t="s">
        <v>467</v>
      </c>
      <c r="D424" s="2" t="s">
        <v>35</v>
      </c>
      <c r="E424" s="2" t="n">
        <v>1</v>
      </c>
      <c r="F424" s="2" t="n">
        <v>0.6872</v>
      </c>
      <c r="G424" s="2" t="n">
        <v>0.3087</v>
      </c>
      <c r="H424" s="2" t="n">
        <v>0.5683</v>
      </c>
      <c r="I424" s="2" t="n">
        <v>0.4012</v>
      </c>
      <c r="J424" s="2" t="n">
        <v>0.1214</v>
      </c>
    </row>
    <row r="425" customFormat="false" ht="15" hidden="false" customHeight="false" outlineLevel="0" collapsed="false">
      <c r="A425" s="2" t="s">
        <v>476</v>
      </c>
      <c r="B425" s="2" t="n">
        <v>440</v>
      </c>
      <c r="C425" s="2" t="s">
        <v>467</v>
      </c>
      <c r="D425" s="2" t="s">
        <v>35</v>
      </c>
      <c r="E425" s="2" t="n">
        <v>1.3</v>
      </c>
      <c r="F425" s="2" t="n">
        <v>0.7294</v>
      </c>
      <c r="G425" s="2" t="n">
        <v>0.3306</v>
      </c>
      <c r="H425" s="2" t="n">
        <v>0.6171</v>
      </c>
      <c r="I425" s="2" t="n">
        <v>0.4411</v>
      </c>
      <c r="J425" s="2" t="n">
        <v>0.1366</v>
      </c>
    </row>
    <row r="426" customFormat="false" ht="15" hidden="false" customHeight="false" outlineLevel="0" collapsed="false">
      <c r="A426" s="2" t="s">
        <v>477</v>
      </c>
      <c r="B426" s="2" t="n">
        <v>440</v>
      </c>
      <c r="C426" s="2" t="s">
        <v>467</v>
      </c>
      <c r="D426" s="2" t="s">
        <v>35</v>
      </c>
      <c r="E426" s="2" t="n">
        <v>1.85</v>
      </c>
      <c r="F426" s="2" t="n">
        <v>0.789</v>
      </c>
      <c r="G426" s="2" t="n">
        <v>0.3605</v>
      </c>
      <c r="H426" s="2" t="n">
        <v>0.6835</v>
      </c>
      <c r="I426" s="2" t="n">
        <v>0.4959</v>
      </c>
      <c r="J426" s="2" t="n">
        <v>0.1596</v>
      </c>
    </row>
    <row r="427" customFormat="false" ht="15" hidden="false" customHeight="false" outlineLevel="0" collapsed="false">
      <c r="A427" s="2" t="s">
        <v>478</v>
      </c>
      <c r="B427" s="2" t="n">
        <v>440</v>
      </c>
      <c r="C427" s="2" t="s">
        <v>467</v>
      </c>
      <c r="D427" s="2" t="s">
        <v>35</v>
      </c>
      <c r="E427" s="2" t="n">
        <v>2.4</v>
      </c>
      <c r="F427" s="2" t="n">
        <v>0.8345</v>
      </c>
      <c r="G427" s="2" t="n">
        <v>0.384</v>
      </c>
      <c r="H427" s="2" t="n">
        <v>0.7343</v>
      </c>
      <c r="I427" s="2" t="n">
        <v>0.5374</v>
      </c>
      <c r="J427" s="2" t="n">
        <v>0.1777</v>
      </c>
    </row>
    <row r="428" customFormat="false" ht="15" hidden="false" customHeight="false" outlineLevel="0" collapsed="false">
      <c r="A428" s="2" t="s">
        <v>479</v>
      </c>
      <c r="B428" s="2" t="n">
        <v>440</v>
      </c>
      <c r="C428" s="2" t="s">
        <v>467</v>
      </c>
      <c r="D428" s="2" t="s">
        <v>42</v>
      </c>
      <c r="E428" s="2" t="n">
        <v>0.55</v>
      </c>
      <c r="F428" s="2" t="n">
        <v>0.9642</v>
      </c>
      <c r="G428" s="2" t="n">
        <v>0.4606</v>
      </c>
      <c r="H428" s="2" t="n">
        <v>0.9037</v>
      </c>
      <c r="I428" s="2" t="n">
        <v>0.7155</v>
      </c>
      <c r="J428" s="2" t="n">
        <v>0.2801</v>
      </c>
    </row>
    <row r="429" customFormat="false" ht="15" hidden="false" customHeight="false" outlineLevel="0" collapsed="false">
      <c r="A429" s="2" t="s">
        <v>480</v>
      </c>
      <c r="B429" s="2" t="n">
        <v>440</v>
      </c>
      <c r="C429" s="2" t="s">
        <v>467</v>
      </c>
      <c r="D429" s="2" t="s">
        <v>42</v>
      </c>
      <c r="E429" s="2" t="n">
        <v>0.8</v>
      </c>
      <c r="F429" s="2" t="n">
        <v>0.9642</v>
      </c>
      <c r="G429" s="2" t="n">
        <v>0.4607</v>
      </c>
      <c r="H429" s="2" t="n">
        <v>0.9037</v>
      </c>
      <c r="I429" s="2" t="n">
        <v>0.7155</v>
      </c>
      <c r="J429" s="2" t="n">
        <v>0.2802</v>
      </c>
    </row>
    <row r="430" customFormat="false" ht="15" hidden="false" customHeight="false" outlineLevel="0" collapsed="false">
      <c r="A430" s="2" t="s">
        <v>481</v>
      </c>
      <c r="B430" s="2" t="n">
        <v>440</v>
      </c>
      <c r="C430" s="2" t="s">
        <v>467</v>
      </c>
      <c r="D430" s="2" t="s">
        <v>42</v>
      </c>
      <c r="E430" s="2" t="n">
        <v>1</v>
      </c>
      <c r="F430" s="2" t="n">
        <v>0.9642</v>
      </c>
      <c r="G430" s="2" t="n">
        <v>0.4608</v>
      </c>
      <c r="H430" s="2" t="n">
        <v>0.9037</v>
      </c>
      <c r="I430" s="2" t="n">
        <v>0.7154</v>
      </c>
      <c r="J430" s="2" t="n">
        <v>0.2803</v>
      </c>
    </row>
    <row r="431" customFormat="false" ht="15" hidden="false" customHeight="false" outlineLevel="0" collapsed="false">
      <c r="A431" s="2" t="s">
        <v>482</v>
      </c>
      <c r="B431" s="2" t="n">
        <v>440</v>
      </c>
      <c r="C431" s="2" t="s">
        <v>467</v>
      </c>
      <c r="D431" s="2" t="s">
        <v>42</v>
      </c>
      <c r="E431" s="2" t="n">
        <v>1.3</v>
      </c>
      <c r="F431" s="2" t="n">
        <v>0.9642</v>
      </c>
      <c r="G431" s="2" t="n">
        <v>0.4613</v>
      </c>
      <c r="H431" s="2" t="n">
        <v>0.9039</v>
      </c>
      <c r="I431" s="2" t="n">
        <v>0.7155</v>
      </c>
      <c r="J431" s="2" t="n">
        <v>0.2809</v>
      </c>
    </row>
    <row r="432" customFormat="false" ht="15" hidden="false" customHeight="false" outlineLevel="0" collapsed="false">
      <c r="A432" s="2" t="s">
        <v>483</v>
      </c>
      <c r="B432" s="2" t="n">
        <v>440</v>
      </c>
      <c r="C432" s="2" t="s">
        <v>467</v>
      </c>
      <c r="D432" s="2" t="s">
        <v>42</v>
      </c>
      <c r="E432" s="2" t="n">
        <v>1.85</v>
      </c>
      <c r="F432" s="2" t="n">
        <v>0.9642</v>
      </c>
      <c r="G432" s="2" t="n">
        <v>0.4633</v>
      </c>
      <c r="H432" s="2" t="n">
        <v>0.9059</v>
      </c>
      <c r="I432" s="2" t="n">
        <v>0.7161</v>
      </c>
      <c r="J432" s="2" t="n">
        <v>0.283</v>
      </c>
    </row>
    <row r="433" customFormat="false" ht="15" hidden="false" customHeight="false" outlineLevel="0" collapsed="false">
      <c r="A433" s="2" t="s">
        <v>484</v>
      </c>
      <c r="B433" s="2" t="n">
        <v>440</v>
      </c>
      <c r="C433" s="2" t="s">
        <v>467</v>
      </c>
      <c r="D433" s="2" t="s">
        <v>42</v>
      </c>
      <c r="E433" s="2" t="n">
        <v>2.4</v>
      </c>
      <c r="F433" s="2" t="n">
        <v>0.9642</v>
      </c>
      <c r="G433" s="2" t="n">
        <v>0.4646</v>
      </c>
      <c r="H433" s="2" t="n">
        <v>0.907</v>
      </c>
      <c r="I433" s="2" t="n">
        <v>0.7166</v>
      </c>
      <c r="J433" s="2" t="n">
        <v>0.285</v>
      </c>
    </row>
    <row r="434" customFormat="false" ht="15" hidden="false" customHeight="false" outlineLevel="0" collapsed="false">
      <c r="A434" s="2" t="s">
        <v>485</v>
      </c>
      <c r="B434" s="2" t="n">
        <v>420</v>
      </c>
      <c r="C434" s="2" t="s">
        <v>486</v>
      </c>
      <c r="D434" s="2" t="s">
        <v>28</v>
      </c>
      <c r="E434" s="2" t="n">
        <v>0.55</v>
      </c>
      <c r="F434" s="2" t="n">
        <v>0.5564</v>
      </c>
      <c r="G434" s="2" t="n">
        <v>0.2117</v>
      </c>
      <c r="H434" s="2" t="n">
        <v>0.4401</v>
      </c>
      <c r="I434" s="2" t="n">
        <v>0.3247</v>
      </c>
      <c r="J434" s="2" t="n">
        <v>0.076</v>
      </c>
    </row>
    <row r="435" customFormat="false" ht="15" hidden="false" customHeight="false" outlineLevel="0" collapsed="false">
      <c r="A435" s="2" t="s">
        <v>487</v>
      </c>
      <c r="B435" s="2" t="n">
        <v>420</v>
      </c>
      <c r="C435" s="2" t="s">
        <v>486</v>
      </c>
      <c r="D435" s="2" t="s">
        <v>28</v>
      </c>
      <c r="E435" s="2" t="n">
        <v>0.8</v>
      </c>
      <c r="F435" s="2" t="n">
        <v>0.6074</v>
      </c>
      <c r="G435" s="2" t="n">
        <v>0.2386</v>
      </c>
      <c r="H435" s="2" t="n">
        <v>0.4998</v>
      </c>
      <c r="I435" s="2" t="n">
        <v>0.371</v>
      </c>
      <c r="J435" s="2" t="n">
        <v>0.0908</v>
      </c>
    </row>
    <row r="436" customFormat="false" ht="15" hidden="false" customHeight="false" outlineLevel="0" collapsed="false">
      <c r="A436" s="2" t="s">
        <v>488</v>
      </c>
      <c r="B436" s="2" t="n">
        <v>420</v>
      </c>
      <c r="C436" s="2" t="s">
        <v>486</v>
      </c>
      <c r="D436" s="2" t="s">
        <v>28</v>
      </c>
      <c r="E436" s="2" t="n">
        <v>1</v>
      </c>
      <c r="F436" s="2" t="n">
        <v>0.6412</v>
      </c>
      <c r="G436" s="2" t="n">
        <v>0.2527</v>
      </c>
      <c r="H436" s="2" t="n">
        <v>0.5357</v>
      </c>
      <c r="I436" s="2" t="n">
        <v>0.4016</v>
      </c>
      <c r="J436" s="2" t="n">
        <v>0.1001</v>
      </c>
    </row>
    <row r="437" customFormat="false" ht="15" hidden="false" customHeight="false" outlineLevel="0" collapsed="false">
      <c r="A437" s="2" t="s">
        <v>489</v>
      </c>
      <c r="B437" s="2" t="n">
        <v>420</v>
      </c>
      <c r="C437" s="2" t="s">
        <v>486</v>
      </c>
      <c r="D437" s="2" t="s">
        <v>28</v>
      </c>
      <c r="E437" s="2" t="n">
        <v>1.3</v>
      </c>
      <c r="F437" s="2" t="n">
        <v>0.6861</v>
      </c>
      <c r="G437" s="2" t="n">
        <v>0.2717</v>
      </c>
      <c r="H437" s="2" t="n">
        <v>0.5847</v>
      </c>
      <c r="I437" s="2" t="n">
        <v>0.441</v>
      </c>
      <c r="J437" s="2" t="n">
        <v>0.1112</v>
      </c>
    </row>
    <row r="438" customFormat="false" ht="15" hidden="false" customHeight="false" outlineLevel="0" collapsed="false">
      <c r="A438" s="2" t="s">
        <v>490</v>
      </c>
      <c r="B438" s="2" t="n">
        <v>420</v>
      </c>
      <c r="C438" s="2" t="s">
        <v>486</v>
      </c>
      <c r="D438" s="2" t="s">
        <v>28</v>
      </c>
      <c r="E438" s="2" t="n">
        <v>1.85</v>
      </c>
      <c r="F438" s="2" t="n">
        <v>0.7491</v>
      </c>
      <c r="G438" s="2" t="n">
        <v>0.2981</v>
      </c>
      <c r="H438" s="2" t="n">
        <v>0.6529</v>
      </c>
      <c r="I438" s="2" t="n">
        <v>0.498</v>
      </c>
      <c r="J438" s="2" t="n">
        <v>0.1286</v>
      </c>
    </row>
    <row r="439" customFormat="false" ht="15" hidden="false" customHeight="false" outlineLevel="0" collapsed="false">
      <c r="A439" s="2" t="s">
        <v>491</v>
      </c>
      <c r="B439" s="2" t="n">
        <v>420</v>
      </c>
      <c r="C439" s="2" t="s">
        <v>486</v>
      </c>
      <c r="D439" s="2" t="s">
        <v>28</v>
      </c>
      <c r="E439" s="2" t="n">
        <v>2.4</v>
      </c>
      <c r="F439" s="2" t="n">
        <v>0.7953</v>
      </c>
      <c r="G439" s="2" t="n">
        <v>0.321</v>
      </c>
      <c r="H439" s="2" t="n">
        <v>0.7024</v>
      </c>
      <c r="I439" s="2" t="n">
        <v>0.5377</v>
      </c>
      <c r="J439" s="2" t="n">
        <v>0.1436</v>
      </c>
    </row>
    <row r="440" customFormat="false" ht="15" hidden="false" customHeight="false" outlineLevel="0" collapsed="false">
      <c r="A440" s="2" t="s">
        <v>492</v>
      </c>
      <c r="B440" s="2" t="n">
        <v>420</v>
      </c>
      <c r="C440" s="2" t="s">
        <v>486</v>
      </c>
      <c r="D440" s="2" t="s">
        <v>35</v>
      </c>
      <c r="E440" s="2" t="n">
        <v>0.55</v>
      </c>
      <c r="F440" s="2" t="n">
        <v>0.6017</v>
      </c>
      <c r="G440" s="2" t="n">
        <v>0.2601</v>
      </c>
      <c r="H440" s="2" t="n">
        <v>0.4693</v>
      </c>
      <c r="I440" s="2" t="n">
        <v>0.3254</v>
      </c>
      <c r="J440" s="2" t="n">
        <v>0.0921</v>
      </c>
    </row>
    <row r="441" customFormat="false" ht="15" hidden="false" customHeight="false" outlineLevel="0" collapsed="false">
      <c r="A441" s="2" t="s">
        <v>493</v>
      </c>
      <c r="B441" s="2" t="n">
        <v>420</v>
      </c>
      <c r="C441" s="2" t="s">
        <v>486</v>
      </c>
      <c r="D441" s="2" t="s">
        <v>35</v>
      </c>
      <c r="E441" s="2" t="n">
        <v>0.8</v>
      </c>
      <c r="F441" s="2" t="n">
        <v>0.6568</v>
      </c>
      <c r="G441" s="2" t="n">
        <v>0.2917</v>
      </c>
      <c r="H441" s="2" t="n">
        <v>0.536</v>
      </c>
      <c r="I441" s="2" t="n">
        <v>0.3766</v>
      </c>
      <c r="J441" s="2" t="n">
        <v>0.111</v>
      </c>
    </row>
    <row r="442" customFormat="false" ht="15" hidden="false" customHeight="false" outlineLevel="0" collapsed="false">
      <c r="A442" s="2" t="s">
        <v>494</v>
      </c>
      <c r="B442" s="2" t="n">
        <v>420</v>
      </c>
      <c r="C442" s="2" t="s">
        <v>486</v>
      </c>
      <c r="D442" s="2" t="s">
        <v>35</v>
      </c>
      <c r="E442" s="2" t="n">
        <v>1</v>
      </c>
      <c r="F442" s="2" t="n">
        <v>0.693</v>
      </c>
      <c r="G442" s="2" t="n">
        <v>0.3089</v>
      </c>
      <c r="H442" s="2" t="n">
        <v>0.5766</v>
      </c>
      <c r="I442" s="2" t="n">
        <v>0.4109</v>
      </c>
      <c r="J442" s="2" t="n">
        <v>0.1232</v>
      </c>
    </row>
    <row r="443" customFormat="false" ht="15" hidden="false" customHeight="false" outlineLevel="0" collapsed="false">
      <c r="A443" s="2" t="s">
        <v>495</v>
      </c>
      <c r="B443" s="2" t="n">
        <v>420</v>
      </c>
      <c r="C443" s="2" t="s">
        <v>486</v>
      </c>
      <c r="D443" s="2" t="s">
        <v>35</v>
      </c>
      <c r="E443" s="2" t="n">
        <v>1.3</v>
      </c>
      <c r="F443" s="2" t="n">
        <v>0.7402</v>
      </c>
      <c r="G443" s="2" t="n">
        <v>0.3325</v>
      </c>
      <c r="H443" s="2" t="n">
        <v>0.6298</v>
      </c>
      <c r="I443" s="2" t="n">
        <v>0.4529</v>
      </c>
      <c r="J443" s="2" t="n">
        <v>0.1384</v>
      </c>
    </row>
    <row r="444" customFormat="false" ht="15" hidden="false" customHeight="false" outlineLevel="0" collapsed="false">
      <c r="A444" s="2" t="s">
        <v>496</v>
      </c>
      <c r="B444" s="2" t="n">
        <v>420</v>
      </c>
      <c r="C444" s="2" t="s">
        <v>486</v>
      </c>
      <c r="D444" s="2" t="s">
        <v>35</v>
      </c>
      <c r="E444" s="2" t="n">
        <v>1.85</v>
      </c>
      <c r="F444" s="2" t="n">
        <v>0.8016</v>
      </c>
      <c r="G444" s="2" t="n">
        <v>0.3624</v>
      </c>
      <c r="H444" s="2" t="n">
        <v>0.6978</v>
      </c>
      <c r="I444" s="2" t="n">
        <v>0.5103</v>
      </c>
      <c r="J444" s="2" t="n">
        <v>0.1611</v>
      </c>
    </row>
    <row r="445" customFormat="false" ht="15" hidden="false" customHeight="false" outlineLevel="0" collapsed="false">
      <c r="A445" s="2" t="s">
        <v>497</v>
      </c>
      <c r="B445" s="2" t="n">
        <v>420</v>
      </c>
      <c r="C445" s="2" t="s">
        <v>486</v>
      </c>
      <c r="D445" s="2" t="s">
        <v>35</v>
      </c>
      <c r="E445" s="2" t="n">
        <v>2.4</v>
      </c>
      <c r="F445" s="2" t="n">
        <v>0.8462</v>
      </c>
      <c r="G445" s="2" t="n">
        <v>0.3852</v>
      </c>
      <c r="H445" s="2" t="n">
        <v>0.7484</v>
      </c>
      <c r="I445" s="2" t="n">
        <v>0.5521</v>
      </c>
      <c r="J445" s="2" t="n">
        <v>0.1785</v>
      </c>
    </row>
    <row r="446" customFormat="false" ht="15" hidden="false" customHeight="false" outlineLevel="0" collapsed="false">
      <c r="A446" s="2" t="s">
        <v>498</v>
      </c>
      <c r="B446" s="2" t="n">
        <v>420</v>
      </c>
      <c r="C446" s="2" t="s">
        <v>486</v>
      </c>
      <c r="D446" s="2" t="s">
        <v>42</v>
      </c>
      <c r="E446" s="2" t="n">
        <v>0.55</v>
      </c>
      <c r="F446" s="2" t="n">
        <v>0.9579</v>
      </c>
      <c r="G446" s="2" t="n">
        <v>0.4423</v>
      </c>
      <c r="H446" s="2" t="n">
        <v>0.8926</v>
      </c>
      <c r="I446" s="2" t="n">
        <v>0.7073</v>
      </c>
      <c r="J446" s="2" t="n">
        <v>0.2602</v>
      </c>
    </row>
    <row r="447" customFormat="false" ht="15" hidden="false" customHeight="false" outlineLevel="0" collapsed="false">
      <c r="A447" s="2" t="s">
        <v>499</v>
      </c>
      <c r="B447" s="2" t="n">
        <v>420</v>
      </c>
      <c r="C447" s="2" t="s">
        <v>486</v>
      </c>
      <c r="D447" s="2" t="s">
        <v>42</v>
      </c>
      <c r="E447" s="2" t="n">
        <v>0.8</v>
      </c>
      <c r="F447" s="2" t="n">
        <v>0.9579</v>
      </c>
      <c r="G447" s="2" t="n">
        <v>0.4425</v>
      </c>
      <c r="H447" s="2" t="n">
        <v>0.8926</v>
      </c>
      <c r="I447" s="2" t="n">
        <v>0.7073</v>
      </c>
      <c r="J447" s="2" t="n">
        <v>0.2604</v>
      </c>
    </row>
    <row r="448" customFormat="false" ht="15" hidden="false" customHeight="false" outlineLevel="0" collapsed="false">
      <c r="A448" s="2" t="s">
        <v>500</v>
      </c>
      <c r="B448" s="2" t="n">
        <v>420</v>
      </c>
      <c r="C448" s="2" t="s">
        <v>486</v>
      </c>
      <c r="D448" s="2" t="s">
        <v>42</v>
      </c>
      <c r="E448" s="2" t="n">
        <v>1</v>
      </c>
      <c r="F448" s="2" t="n">
        <v>0.9579</v>
      </c>
      <c r="G448" s="2" t="n">
        <v>0.4428</v>
      </c>
      <c r="H448" s="2" t="n">
        <v>0.8926</v>
      </c>
      <c r="I448" s="2" t="n">
        <v>0.7072</v>
      </c>
      <c r="J448" s="2" t="n">
        <v>0.2606</v>
      </c>
    </row>
    <row r="449" customFormat="false" ht="15" hidden="false" customHeight="false" outlineLevel="0" collapsed="false">
      <c r="A449" s="2" t="s">
        <v>501</v>
      </c>
      <c r="B449" s="2" t="n">
        <v>420</v>
      </c>
      <c r="C449" s="2" t="s">
        <v>486</v>
      </c>
      <c r="D449" s="2" t="s">
        <v>42</v>
      </c>
      <c r="E449" s="2" t="n">
        <v>1.3</v>
      </c>
      <c r="F449" s="2" t="n">
        <v>0.9579</v>
      </c>
      <c r="G449" s="2" t="n">
        <v>0.4434</v>
      </c>
      <c r="H449" s="2" t="n">
        <v>0.893</v>
      </c>
      <c r="I449" s="2" t="n">
        <v>0.7073</v>
      </c>
      <c r="J449" s="2" t="n">
        <v>0.2613</v>
      </c>
    </row>
    <row r="450" customFormat="false" ht="15" hidden="false" customHeight="false" outlineLevel="0" collapsed="false">
      <c r="A450" s="2" t="s">
        <v>502</v>
      </c>
      <c r="B450" s="2" t="n">
        <v>420</v>
      </c>
      <c r="C450" s="2" t="s">
        <v>486</v>
      </c>
      <c r="D450" s="2" t="s">
        <v>42</v>
      </c>
      <c r="E450" s="2" t="n">
        <v>1.85</v>
      </c>
      <c r="F450" s="2" t="n">
        <v>0.9579</v>
      </c>
      <c r="G450" s="2" t="n">
        <v>0.4452</v>
      </c>
      <c r="H450" s="2" t="n">
        <v>0.8947</v>
      </c>
      <c r="I450" s="2" t="n">
        <v>0.7078</v>
      </c>
      <c r="J450" s="2" t="n">
        <v>0.2633</v>
      </c>
    </row>
    <row r="451" customFormat="false" ht="15" hidden="false" customHeight="false" outlineLevel="0" collapsed="false">
      <c r="A451" s="2" t="s">
        <v>503</v>
      </c>
      <c r="B451" s="2" t="n">
        <v>420</v>
      </c>
      <c r="C451" s="2" t="s">
        <v>486</v>
      </c>
      <c r="D451" s="2" t="s">
        <v>42</v>
      </c>
      <c r="E451" s="2" t="n">
        <v>2.4</v>
      </c>
      <c r="F451" s="2" t="n">
        <v>0.9579</v>
      </c>
      <c r="G451" s="2" t="n">
        <v>0.4467</v>
      </c>
      <c r="H451" s="2" t="n">
        <v>0.896</v>
      </c>
      <c r="I451" s="2" t="n">
        <v>0.7084</v>
      </c>
      <c r="J451" s="2" t="n">
        <v>0.265</v>
      </c>
    </row>
    <row r="452" customFormat="false" ht="15" hidden="false" customHeight="false" outlineLevel="0" collapsed="false">
      <c r="A452" s="2" t="s">
        <v>504</v>
      </c>
      <c r="B452" s="2" t="n">
        <v>400</v>
      </c>
      <c r="C452" s="2" t="s">
        <v>505</v>
      </c>
      <c r="D452" s="2" t="s">
        <v>28</v>
      </c>
      <c r="E452" s="2" t="n">
        <v>0.55</v>
      </c>
      <c r="F452" s="2" t="n">
        <v>0.5459</v>
      </c>
      <c r="G452" s="2" t="n">
        <v>0.2028</v>
      </c>
      <c r="H452" s="2" t="n">
        <v>0.4315</v>
      </c>
      <c r="I452" s="2" t="n">
        <v>0.3206</v>
      </c>
      <c r="J452" s="2" t="n">
        <v>0.072</v>
      </c>
    </row>
    <row r="453" customFormat="false" ht="15" hidden="false" customHeight="false" outlineLevel="0" collapsed="false">
      <c r="A453" s="2" t="s">
        <v>506</v>
      </c>
      <c r="B453" s="2" t="n">
        <v>400</v>
      </c>
      <c r="C453" s="2" t="s">
        <v>505</v>
      </c>
      <c r="D453" s="2" t="s">
        <v>28</v>
      </c>
      <c r="E453" s="2" t="n">
        <v>0.8</v>
      </c>
      <c r="F453" s="2" t="n">
        <v>0.5959</v>
      </c>
      <c r="G453" s="2" t="n">
        <v>0.228</v>
      </c>
      <c r="H453" s="2" t="n">
        <v>0.4891</v>
      </c>
      <c r="I453" s="2" t="n">
        <v>0.3655</v>
      </c>
      <c r="J453" s="2" t="n">
        <v>0.086</v>
      </c>
    </row>
    <row r="454" customFormat="false" ht="15" hidden="false" customHeight="false" outlineLevel="0" collapsed="false">
      <c r="A454" s="2" t="s">
        <v>507</v>
      </c>
      <c r="B454" s="2" t="n">
        <v>400</v>
      </c>
      <c r="C454" s="2" t="s">
        <v>505</v>
      </c>
      <c r="D454" s="2" t="s">
        <v>28</v>
      </c>
      <c r="E454" s="2" t="n">
        <v>1</v>
      </c>
      <c r="F454" s="2" t="n">
        <v>0.6315</v>
      </c>
      <c r="G454" s="2" t="n">
        <v>0.2439</v>
      </c>
      <c r="H454" s="2" t="n">
        <v>0.5269</v>
      </c>
      <c r="I454" s="2" t="n">
        <v>0.3973</v>
      </c>
      <c r="J454" s="2" t="n">
        <v>0.0959</v>
      </c>
    </row>
    <row r="455" customFormat="false" ht="15" hidden="false" customHeight="false" outlineLevel="0" collapsed="false">
      <c r="A455" s="2" t="s">
        <v>508</v>
      </c>
      <c r="B455" s="2" t="n">
        <v>400</v>
      </c>
      <c r="C455" s="2" t="s">
        <v>505</v>
      </c>
      <c r="D455" s="2" t="s">
        <v>28</v>
      </c>
      <c r="E455" s="2" t="n">
        <v>1.3</v>
      </c>
      <c r="F455" s="2" t="n">
        <v>0.6771</v>
      </c>
      <c r="G455" s="2" t="n">
        <v>0.2627</v>
      </c>
      <c r="H455" s="2" t="n">
        <v>0.5757</v>
      </c>
      <c r="I455" s="2" t="n">
        <v>0.4371</v>
      </c>
      <c r="J455" s="2" t="n">
        <v>0.1071</v>
      </c>
    </row>
    <row r="456" customFormat="false" ht="15" hidden="false" customHeight="false" outlineLevel="0" collapsed="false">
      <c r="A456" s="2" t="s">
        <v>509</v>
      </c>
      <c r="B456" s="2" t="n">
        <v>400</v>
      </c>
      <c r="C456" s="2" t="s">
        <v>505</v>
      </c>
      <c r="D456" s="2" t="s">
        <v>28</v>
      </c>
      <c r="E456" s="2" t="n">
        <v>1.85</v>
      </c>
      <c r="F456" s="2" t="n">
        <v>0.7432</v>
      </c>
      <c r="G456" s="2" t="n">
        <v>0.2896</v>
      </c>
      <c r="H456" s="2" t="n">
        <v>0.6463</v>
      </c>
      <c r="I456" s="2" t="n">
        <v>0.4968</v>
      </c>
      <c r="J456" s="2" t="n">
        <v>0.1249</v>
      </c>
    </row>
    <row r="457" customFormat="false" ht="15" hidden="false" customHeight="false" outlineLevel="0" collapsed="false">
      <c r="A457" s="2" t="s">
        <v>510</v>
      </c>
      <c r="B457" s="2" t="n">
        <v>400</v>
      </c>
      <c r="C457" s="2" t="s">
        <v>505</v>
      </c>
      <c r="D457" s="2" t="s">
        <v>28</v>
      </c>
      <c r="E457" s="2" t="n">
        <v>2.4</v>
      </c>
      <c r="F457" s="2" t="n">
        <v>0.7903</v>
      </c>
      <c r="G457" s="2" t="n">
        <v>0.3115</v>
      </c>
      <c r="H457" s="2" t="n">
        <v>0.6972</v>
      </c>
      <c r="I457" s="2" t="n">
        <v>0.5381</v>
      </c>
      <c r="J457" s="2" t="n">
        <v>0.1389</v>
      </c>
    </row>
    <row r="458" customFormat="false" ht="15" hidden="false" customHeight="false" outlineLevel="0" collapsed="false">
      <c r="A458" s="2" t="s">
        <v>511</v>
      </c>
      <c r="B458" s="2" t="n">
        <v>400</v>
      </c>
      <c r="C458" s="2" t="s">
        <v>505</v>
      </c>
      <c r="D458" s="2" t="s">
        <v>35</v>
      </c>
      <c r="E458" s="2" t="n">
        <v>0.55</v>
      </c>
      <c r="F458" s="2" t="n">
        <v>0.6141</v>
      </c>
      <c r="G458" s="2" t="n">
        <v>0.2621</v>
      </c>
      <c r="H458" s="2" t="n">
        <v>0.4854</v>
      </c>
      <c r="I458" s="2" t="n">
        <v>0.3418</v>
      </c>
      <c r="J458" s="2" t="n">
        <v>0.0953</v>
      </c>
    </row>
    <row r="459" customFormat="false" ht="15" hidden="false" customHeight="false" outlineLevel="0" collapsed="false">
      <c r="A459" s="2" t="s">
        <v>512</v>
      </c>
      <c r="B459" s="2" t="n">
        <v>400</v>
      </c>
      <c r="C459" s="2" t="s">
        <v>505</v>
      </c>
      <c r="D459" s="2" t="s">
        <v>35</v>
      </c>
      <c r="E459" s="2" t="n">
        <v>0.8</v>
      </c>
      <c r="F459" s="2" t="n">
        <v>0.6731</v>
      </c>
      <c r="G459" s="2" t="n">
        <v>0.2937</v>
      </c>
      <c r="H459" s="2" t="n">
        <v>0.5552</v>
      </c>
      <c r="I459" s="2" t="n">
        <v>0.3964</v>
      </c>
      <c r="J459" s="2" t="n">
        <v>0.1146</v>
      </c>
    </row>
    <row r="460" customFormat="false" ht="15" hidden="false" customHeight="false" outlineLevel="0" collapsed="false">
      <c r="A460" s="2" t="s">
        <v>513</v>
      </c>
      <c r="B460" s="2" t="n">
        <v>400</v>
      </c>
      <c r="C460" s="2" t="s">
        <v>505</v>
      </c>
      <c r="D460" s="2" t="s">
        <v>35</v>
      </c>
      <c r="E460" s="2" t="n">
        <v>1</v>
      </c>
      <c r="F460" s="2" t="n">
        <v>0.7145</v>
      </c>
      <c r="G460" s="2" t="n">
        <v>0.3136</v>
      </c>
      <c r="H460" s="2" t="n">
        <v>0.601</v>
      </c>
      <c r="I460" s="2" t="n">
        <v>0.4349</v>
      </c>
      <c r="J460" s="2" t="n">
        <v>0.1285</v>
      </c>
    </row>
    <row r="461" customFormat="false" ht="15" hidden="false" customHeight="false" outlineLevel="0" collapsed="false">
      <c r="A461" s="2" t="s">
        <v>514</v>
      </c>
      <c r="B461" s="2" t="n">
        <v>400</v>
      </c>
      <c r="C461" s="2" t="s">
        <v>505</v>
      </c>
      <c r="D461" s="2" t="s">
        <v>35</v>
      </c>
      <c r="E461" s="2" t="n">
        <v>1.3</v>
      </c>
      <c r="F461" s="2" t="n">
        <v>0.7631</v>
      </c>
      <c r="G461" s="2" t="n">
        <v>0.337</v>
      </c>
      <c r="H461" s="2" t="n">
        <v>0.6547</v>
      </c>
      <c r="I461" s="2" t="n">
        <v>0.4778</v>
      </c>
      <c r="J461" s="2" t="n">
        <v>0.1434</v>
      </c>
    </row>
    <row r="462" customFormat="false" ht="15" hidden="false" customHeight="false" outlineLevel="0" collapsed="false">
      <c r="A462" s="2" t="s">
        <v>515</v>
      </c>
      <c r="B462" s="2" t="n">
        <v>400</v>
      </c>
      <c r="C462" s="2" t="s">
        <v>505</v>
      </c>
      <c r="D462" s="2" t="s">
        <v>35</v>
      </c>
      <c r="E462" s="2" t="n">
        <v>1.85</v>
      </c>
      <c r="F462" s="2" t="n">
        <v>0.8263</v>
      </c>
      <c r="G462" s="2" t="n">
        <v>0.369</v>
      </c>
      <c r="H462" s="2" t="n">
        <v>0.7247</v>
      </c>
      <c r="I462" s="2" t="n">
        <v>0.5362</v>
      </c>
      <c r="J462" s="2" t="n">
        <v>0.1672</v>
      </c>
    </row>
    <row r="463" customFormat="false" ht="15" hidden="false" customHeight="false" outlineLevel="0" collapsed="false">
      <c r="A463" s="2" t="s">
        <v>516</v>
      </c>
      <c r="B463" s="2" t="n">
        <v>400</v>
      </c>
      <c r="C463" s="2" t="s">
        <v>505</v>
      </c>
      <c r="D463" s="2" t="s">
        <v>35</v>
      </c>
      <c r="E463" s="2" t="n">
        <v>2.4</v>
      </c>
      <c r="F463" s="2" t="n">
        <v>0.8676</v>
      </c>
      <c r="G463" s="2" t="n">
        <v>0.3915</v>
      </c>
      <c r="H463" s="2" t="n">
        <v>0.7713</v>
      </c>
      <c r="I463" s="2" t="n">
        <v>0.5742</v>
      </c>
      <c r="J463" s="2" t="n">
        <v>0.1841</v>
      </c>
    </row>
    <row r="464" customFormat="false" ht="15" hidden="false" customHeight="false" outlineLevel="0" collapsed="false">
      <c r="A464" s="2" t="s">
        <v>517</v>
      </c>
      <c r="B464" s="2" t="n">
        <v>400</v>
      </c>
      <c r="C464" s="2" t="s">
        <v>505</v>
      </c>
      <c r="D464" s="2" t="s">
        <v>42</v>
      </c>
      <c r="E464" s="2" t="n">
        <v>0.55</v>
      </c>
      <c r="F464" s="2" t="n">
        <v>0.9511</v>
      </c>
      <c r="G464" s="2" t="n">
        <v>0.4219</v>
      </c>
      <c r="H464" s="2" t="n">
        <v>0.8803</v>
      </c>
      <c r="I464" s="2" t="n">
        <v>0.6991</v>
      </c>
      <c r="J464" s="2" t="n">
        <v>0.2394</v>
      </c>
    </row>
    <row r="465" customFormat="false" ht="15" hidden="false" customHeight="false" outlineLevel="0" collapsed="false">
      <c r="A465" s="2" t="s">
        <v>518</v>
      </c>
      <c r="B465" s="2" t="n">
        <v>400</v>
      </c>
      <c r="C465" s="2" t="s">
        <v>505</v>
      </c>
      <c r="D465" s="2" t="s">
        <v>42</v>
      </c>
      <c r="E465" s="2" t="n">
        <v>0.8</v>
      </c>
      <c r="F465" s="2" t="n">
        <v>0.9511</v>
      </c>
      <c r="G465" s="2" t="n">
        <v>0.4222</v>
      </c>
      <c r="H465" s="2" t="n">
        <v>0.8803</v>
      </c>
      <c r="I465" s="2" t="n">
        <v>0.6991</v>
      </c>
      <c r="J465" s="2" t="n">
        <v>0.2396</v>
      </c>
    </row>
    <row r="466" customFormat="false" ht="15" hidden="false" customHeight="false" outlineLevel="0" collapsed="false">
      <c r="A466" s="2" t="s">
        <v>519</v>
      </c>
      <c r="B466" s="2" t="n">
        <v>400</v>
      </c>
      <c r="C466" s="2" t="s">
        <v>505</v>
      </c>
      <c r="D466" s="2" t="s">
        <v>42</v>
      </c>
      <c r="E466" s="2" t="n">
        <v>1</v>
      </c>
      <c r="F466" s="2" t="n">
        <v>0.9511</v>
      </c>
      <c r="G466" s="2" t="n">
        <v>0.4225</v>
      </c>
      <c r="H466" s="2" t="n">
        <v>0.8803</v>
      </c>
      <c r="I466" s="2" t="n">
        <v>0.6991</v>
      </c>
      <c r="J466" s="2" t="n">
        <v>0.2399</v>
      </c>
    </row>
    <row r="467" customFormat="false" ht="15" hidden="false" customHeight="false" outlineLevel="0" collapsed="false">
      <c r="A467" s="2" t="s">
        <v>520</v>
      </c>
      <c r="B467" s="2" t="n">
        <v>400</v>
      </c>
      <c r="C467" s="2" t="s">
        <v>505</v>
      </c>
      <c r="D467" s="2" t="s">
        <v>42</v>
      </c>
      <c r="E467" s="2" t="n">
        <v>1.3</v>
      </c>
      <c r="F467" s="2" t="n">
        <v>0.9511</v>
      </c>
      <c r="G467" s="2" t="n">
        <v>0.4232</v>
      </c>
      <c r="H467" s="2" t="n">
        <v>0.8808</v>
      </c>
      <c r="I467" s="2" t="n">
        <v>0.6992</v>
      </c>
      <c r="J467" s="2" t="n">
        <v>0.2406</v>
      </c>
    </row>
    <row r="468" customFormat="false" ht="15" hidden="false" customHeight="false" outlineLevel="0" collapsed="false">
      <c r="A468" s="2" t="s">
        <v>521</v>
      </c>
      <c r="B468" s="2" t="n">
        <v>400</v>
      </c>
      <c r="C468" s="2" t="s">
        <v>505</v>
      </c>
      <c r="D468" s="2" t="s">
        <v>42</v>
      </c>
      <c r="E468" s="2" t="n">
        <v>1.85</v>
      </c>
      <c r="F468" s="2" t="n">
        <v>0.9511</v>
      </c>
      <c r="G468" s="2" t="n">
        <v>0.4249</v>
      </c>
      <c r="H468" s="2" t="n">
        <v>0.8827</v>
      </c>
      <c r="I468" s="2" t="n">
        <v>0.6998</v>
      </c>
      <c r="J468" s="2" t="n">
        <v>0.2423</v>
      </c>
    </row>
    <row r="469" customFormat="false" ht="15" hidden="false" customHeight="false" outlineLevel="0" collapsed="false">
      <c r="A469" s="2" t="s">
        <v>522</v>
      </c>
      <c r="B469" s="2" t="n">
        <v>400</v>
      </c>
      <c r="C469" s="2" t="s">
        <v>505</v>
      </c>
      <c r="D469" s="2" t="s">
        <v>42</v>
      </c>
      <c r="E469" s="2" t="n">
        <v>2.4</v>
      </c>
      <c r="F469" s="2" t="n">
        <v>0.9511</v>
      </c>
      <c r="G469" s="2" t="n">
        <v>0.4264</v>
      </c>
      <c r="H469" s="2" t="n">
        <v>0.8841</v>
      </c>
      <c r="I469" s="2" t="n">
        <v>0.7004</v>
      </c>
      <c r="J469" s="2" t="n">
        <v>0.2443</v>
      </c>
    </row>
    <row r="470" customFormat="false" ht="15" hidden="false" customHeight="false" outlineLevel="0" collapsed="false">
      <c r="A470" s="2" t="s">
        <v>523</v>
      </c>
      <c r="B470" s="2" t="n">
        <v>380</v>
      </c>
      <c r="C470" s="2" t="s">
        <v>524</v>
      </c>
      <c r="D470" s="2" t="s">
        <v>28</v>
      </c>
      <c r="E470" s="2" t="n">
        <v>0.55</v>
      </c>
      <c r="F470" s="2" t="n">
        <v>0.5308</v>
      </c>
      <c r="G470" s="2" t="n">
        <v>0.192</v>
      </c>
      <c r="H470" s="2" t="n">
        <v>0.4179</v>
      </c>
      <c r="I470" s="2" t="n">
        <v>0.3126</v>
      </c>
      <c r="J470" s="2" t="n">
        <v>0.0681</v>
      </c>
    </row>
    <row r="471" customFormat="false" ht="15" hidden="false" customHeight="false" outlineLevel="0" collapsed="false">
      <c r="A471" s="2" t="s">
        <v>525</v>
      </c>
      <c r="B471" s="2" t="n">
        <v>380</v>
      </c>
      <c r="C471" s="2" t="s">
        <v>524</v>
      </c>
      <c r="D471" s="2" t="s">
        <v>28</v>
      </c>
      <c r="E471" s="2" t="n">
        <v>0.8</v>
      </c>
      <c r="F471" s="2" t="n">
        <v>0.5804</v>
      </c>
      <c r="G471" s="2" t="n">
        <v>0.2155</v>
      </c>
      <c r="H471" s="2" t="n">
        <v>0.4736</v>
      </c>
      <c r="I471" s="2" t="n">
        <v>0.3569</v>
      </c>
      <c r="J471" s="2" t="n">
        <v>0.081</v>
      </c>
    </row>
    <row r="472" customFormat="false" ht="15" hidden="false" customHeight="false" outlineLevel="0" collapsed="false">
      <c r="A472" s="2" t="s">
        <v>526</v>
      </c>
      <c r="B472" s="2" t="n">
        <v>380</v>
      </c>
      <c r="C472" s="2" t="s">
        <v>524</v>
      </c>
      <c r="D472" s="2" t="s">
        <v>28</v>
      </c>
      <c r="E472" s="2" t="n">
        <v>1</v>
      </c>
      <c r="F472" s="2" t="n">
        <v>0.6154</v>
      </c>
      <c r="G472" s="2" t="n">
        <v>0.2306</v>
      </c>
      <c r="H472" s="2" t="n">
        <v>0.5109</v>
      </c>
      <c r="I472" s="2" t="n">
        <v>0.3881</v>
      </c>
      <c r="J472" s="2" t="n">
        <v>0.0899</v>
      </c>
    </row>
    <row r="473" customFormat="false" ht="15" hidden="false" customHeight="false" outlineLevel="0" collapsed="false">
      <c r="A473" s="2" t="s">
        <v>527</v>
      </c>
      <c r="B473" s="2" t="n">
        <v>380</v>
      </c>
      <c r="C473" s="2" t="s">
        <v>524</v>
      </c>
      <c r="D473" s="2" t="s">
        <v>28</v>
      </c>
      <c r="E473" s="2" t="n">
        <v>1.3</v>
      </c>
      <c r="F473" s="2" t="n">
        <v>0.6621</v>
      </c>
      <c r="G473" s="2" t="n">
        <v>0.2492</v>
      </c>
      <c r="H473" s="2" t="n">
        <v>0.5598</v>
      </c>
      <c r="I473" s="2" t="n">
        <v>0.4286</v>
      </c>
      <c r="J473" s="2" t="n">
        <v>0.1004</v>
      </c>
    </row>
    <row r="474" customFormat="false" ht="15" hidden="false" customHeight="false" outlineLevel="0" collapsed="false">
      <c r="A474" s="2" t="s">
        <v>528</v>
      </c>
      <c r="B474" s="2" t="n">
        <v>380</v>
      </c>
      <c r="C474" s="2" t="s">
        <v>524</v>
      </c>
      <c r="D474" s="2" t="s">
        <v>28</v>
      </c>
      <c r="E474" s="2" t="n">
        <v>1.85</v>
      </c>
      <c r="F474" s="2" t="n">
        <v>0.7286</v>
      </c>
      <c r="G474" s="2" t="n">
        <v>0.276</v>
      </c>
      <c r="H474" s="2" t="n">
        <v>0.6295</v>
      </c>
      <c r="I474" s="2" t="n">
        <v>0.4858</v>
      </c>
      <c r="J474" s="2" t="n">
        <v>0.1164</v>
      </c>
    </row>
    <row r="475" customFormat="false" ht="15" hidden="false" customHeight="false" outlineLevel="0" collapsed="false">
      <c r="A475" s="2" t="s">
        <v>529</v>
      </c>
      <c r="B475" s="2" t="n">
        <v>380</v>
      </c>
      <c r="C475" s="2" t="s">
        <v>524</v>
      </c>
      <c r="D475" s="2" t="s">
        <v>28</v>
      </c>
      <c r="E475" s="2" t="n">
        <v>2.4</v>
      </c>
      <c r="F475" s="2" t="n">
        <v>0.7784</v>
      </c>
      <c r="G475" s="2" t="n">
        <v>0.2981</v>
      </c>
      <c r="H475" s="2" t="n">
        <v>0.683</v>
      </c>
      <c r="I475" s="2" t="n">
        <v>0.5294</v>
      </c>
      <c r="J475" s="2" t="n">
        <v>0.1297</v>
      </c>
    </row>
    <row r="476" customFormat="false" ht="15" hidden="false" customHeight="false" outlineLevel="0" collapsed="false">
      <c r="A476" s="2" t="s">
        <v>530</v>
      </c>
      <c r="B476" s="2" t="n">
        <v>380</v>
      </c>
      <c r="C476" s="2" t="s">
        <v>524</v>
      </c>
      <c r="D476" s="2" t="s">
        <v>35</v>
      </c>
      <c r="E476" s="2" t="n">
        <v>0.55</v>
      </c>
      <c r="F476" s="2" t="n">
        <v>0.6146</v>
      </c>
      <c r="G476" s="2" t="n">
        <v>0.2581</v>
      </c>
      <c r="H476" s="2" t="n">
        <v>0.4886</v>
      </c>
      <c r="I476" s="2" t="n">
        <v>0.3461</v>
      </c>
      <c r="J476" s="2" t="n">
        <v>0.0932</v>
      </c>
    </row>
    <row r="477" customFormat="false" ht="15" hidden="false" customHeight="false" outlineLevel="0" collapsed="false">
      <c r="A477" s="2" t="s">
        <v>531</v>
      </c>
      <c r="B477" s="2" t="n">
        <v>380</v>
      </c>
      <c r="C477" s="2" t="s">
        <v>524</v>
      </c>
      <c r="D477" s="2" t="s">
        <v>35</v>
      </c>
      <c r="E477" s="2" t="n">
        <v>0.8</v>
      </c>
      <c r="F477" s="2" t="n">
        <v>0.6771</v>
      </c>
      <c r="G477" s="2" t="n">
        <v>0.2898</v>
      </c>
      <c r="H477" s="2" t="n">
        <v>0.56</v>
      </c>
      <c r="I477" s="2" t="n">
        <v>0.4029</v>
      </c>
      <c r="J477" s="2" t="n">
        <v>0.1124</v>
      </c>
    </row>
    <row r="478" customFormat="false" ht="15" hidden="false" customHeight="false" outlineLevel="0" collapsed="false">
      <c r="A478" s="2" t="s">
        <v>532</v>
      </c>
      <c r="B478" s="2" t="n">
        <v>380</v>
      </c>
      <c r="C478" s="2" t="s">
        <v>524</v>
      </c>
      <c r="D478" s="2" t="s">
        <v>35</v>
      </c>
      <c r="E478" s="2" t="n">
        <v>1</v>
      </c>
      <c r="F478" s="2" t="n">
        <v>0.7188</v>
      </c>
      <c r="G478" s="2" t="n">
        <v>0.3103</v>
      </c>
      <c r="H478" s="2" t="n">
        <v>0.6059</v>
      </c>
      <c r="I478" s="2" t="n">
        <v>0.4407</v>
      </c>
      <c r="J478" s="2" t="n">
        <v>0.1258</v>
      </c>
    </row>
    <row r="479" customFormat="false" ht="15" hidden="false" customHeight="false" outlineLevel="0" collapsed="false">
      <c r="A479" s="2" t="s">
        <v>533</v>
      </c>
      <c r="B479" s="2" t="n">
        <v>380</v>
      </c>
      <c r="C479" s="2" t="s">
        <v>524</v>
      </c>
      <c r="D479" s="2" t="s">
        <v>35</v>
      </c>
      <c r="E479" s="2" t="n">
        <v>1.3</v>
      </c>
      <c r="F479" s="2" t="n">
        <v>0.7688</v>
      </c>
      <c r="G479" s="2" t="n">
        <v>0.3334</v>
      </c>
      <c r="H479" s="2" t="n">
        <v>0.6594</v>
      </c>
      <c r="I479" s="2" t="n">
        <v>0.4842</v>
      </c>
      <c r="J479" s="2" t="n">
        <v>0.14</v>
      </c>
    </row>
    <row r="480" customFormat="false" ht="15" hidden="false" customHeight="false" outlineLevel="0" collapsed="false">
      <c r="A480" s="2" t="s">
        <v>534</v>
      </c>
      <c r="B480" s="2" t="n">
        <v>380</v>
      </c>
      <c r="C480" s="2" t="s">
        <v>524</v>
      </c>
      <c r="D480" s="2" t="s">
        <v>35</v>
      </c>
      <c r="E480" s="2" t="n">
        <v>1.85</v>
      </c>
      <c r="F480" s="2" t="n">
        <v>0.832</v>
      </c>
      <c r="G480" s="2" t="n">
        <v>0.3637</v>
      </c>
      <c r="H480" s="2" t="n">
        <v>0.7284</v>
      </c>
      <c r="I480" s="2" t="n">
        <v>0.541</v>
      </c>
      <c r="J480" s="2" t="n">
        <v>0.1616</v>
      </c>
    </row>
    <row r="481" customFormat="false" ht="15" hidden="false" customHeight="false" outlineLevel="0" collapsed="false">
      <c r="A481" s="2" t="s">
        <v>535</v>
      </c>
      <c r="B481" s="2" t="n">
        <v>380</v>
      </c>
      <c r="C481" s="2" t="s">
        <v>524</v>
      </c>
      <c r="D481" s="2" t="s">
        <v>35</v>
      </c>
      <c r="E481" s="2" t="n">
        <v>2.4</v>
      </c>
      <c r="F481" s="2" t="n">
        <v>0.8709</v>
      </c>
      <c r="G481" s="2" t="n">
        <v>0.3854</v>
      </c>
      <c r="H481" s="2" t="n">
        <v>0.7721</v>
      </c>
      <c r="I481" s="2" t="n">
        <v>0.5764</v>
      </c>
      <c r="J481" s="2" t="n">
        <v>0.1774</v>
      </c>
    </row>
    <row r="482" customFormat="false" ht="15" hidden="false" customHeight="false" outlineLevel="0" collapsed="false">
      <c r="A482" s="2" t="s">
        <v>536</v>
      </c>
      <c r="B482" s="2" t="n">
        <v>380</v>
      </c>
      <c r="C482" s="2" t="s">
        <v>524</v>
      </c>
      <c r="D482" s="2" t="s">
        <v>42</v>
      </c>
      <c r="E482" s="2" t="n">
        <v>0.55</v>
      </c>
      <c r="F482" s="2" t="n">
        <v>0.9441</v>
      </c>
      <c r="G482" s="2" t="n">
        <v>0.4016</v>
      </c>
      <c r="H482" s="2" t="n">
        <v>0.8663</v>
      </c>
      <c r="I482" s="2" t="n">
        <v>0.6894</v>
      </c>
      <c r="J482" s="2" t="n">
        <v>0.2198</v>
      </c>
    </row>
    <row r="483" customFormat="false" ht="15" hidden="false" customHeight="false" outlineLevel="0" collapsed="false">
      <c r="A483" s="2" t="s">
        <v>537</v>
      </c>
      <c r="B483" s="2" t="n">
        <v>380</v>
      </c>
      <c r="C483" s="2" t="s">
        <v>524</v>
      </c>
      <c r="D483" s="2" t="s">
        <v>42</v>
      </c>
      <c r="E483" s="2" t="n">
        <v>0.8</v>
      </c>
      <c r="F483" s="2" t="n">
        <v>0.9441</v>
      </c>
      <c r="G483" s="2" t="n">
        <v>0.4017</v>
      </c>
      <c r="H483" s="2" t="n">
        <v>0.8663</v>
      </c>
      <c r="I483" s="2" t="n">
        <v>0.6894</v>
      </c>
      <c r="J483" s="2" t="n">
        <v>0.22</v>
      </c>
    </row>
    <row r="484" customFormat="false" ht="15" hidden="false" customHeight="false" outlineLevel="0" collapsed="false">
      <c r="A484" s="2" t="s">
        <v>538</v>
      </c>
      <c r="B484" s="2" t="n">
        <v>380</v>
      </c>
      <c r="C484" s="2" t="s">
        <v>524</v>
      </c>
      <c r="D484" s="2" t="s">
        <v>42</v>
      </c>
      <c r="E484" s="2" t="n">
        <v>1</v>
      </c>
      <c r="F484" s="2" t="n">
        <v>0.9441</v>
      </c>
      <c r="G484" s="2" t="n">
        <v>0.4019</v>
      </c>
      <c r="H484" s="2" t="n">
        <v>0.8663</v>
      </c>
      <c r="I484" s="2" t="n">
        <v>0.6893</v>
      </c>
      <c r="J484" s="2" t="n">
        <v>0.2201</v>
      </c>
    </row>
    <row r="485" customFormat="false" ht="15" hidden="false" customHeight="false" outlineLevel="0" collapsed="false">
      <c r="A485" s="2" t="s">
        <v>539</v>
      </c>
      <c r="B485" s="2" t="n">
        <v>380</v>
      </c>
      <c r="C485" s="2" t="s">
        <v>524</v>
      </c>
      <c r="D485" s="2" t="s">
        <v>42</v>
      </c>
      <c r="E485" s="2" t="n">
        <v>1.3</v>
      </c>
      <c r="F485" s="2" t="n">
        <v>0.9441</v>
      </c>
      <c r="G485" s="2" t="n">
        <v>0.4024</v>
      </c>
      <c r="H485" s="2" t="n">
        <v>0.8668</v>
      </c>
      <c r="I485" s="2" t="n">
        <v>0.6894</v>
      </c>
      <c r="J485" s="2" t="n">
        <v>0.2206</v>
      </c>
    </row>
    <row r="486" customFormat="false" ht="15" hidden="false" customHeight="false" outlineLevel="0" collapsed="false">
      <c r="A486" s="2" t="s">
        <v>540</v>
      </c>
      <c r="B486" s="2" t="n">
        <v>380</v>
      </c>
      <c r="C486" s="2" t="s">
        <v>524</v>
      </c>
      <c r="D486" s="2" t="s">
        <v>42</v>
      </c>
      <c r="E486" s="2" t="n">
        <v>1.85</v>
      </c>
      <c r="F486" s="2" t="n">
        <v>0.9441</v>
      </c>
      <c r="G486" s="2" t="n">
        <v>0.4044</v>
      </c>
      <c r="H486" s="2" t="n">
        <v>0.8689</v>
      </c>
      <c r="I486" s="2" t="n">
        <v>0.69</v>
      </c>
      <c r="J486" s="2" t="n">
        <v>0.2222</v>
      </c>
    </row>
    <row r="487" customFormat="false" ht="15" hidden="false" customHeight="false" outlineLevel="0" collapsed="false">
      <c r="A487" s="2" t="s">
        <v>541</v>
      </c>
      <c r="B487" s="2" t="n">
        <v>380</v>
      </c>
      <c r="C487" s="2" t="s">
        <v>524</v>
      </c>
      <c r="D487" s="2" t="s">
        <v>42</v>
      </c>
      <c r="E487" s="2" t="n">
        <v>2.4</v>
      </c>
      <c r="F487" s="2" t="n">
        <v>0.9441</v>
      </c>
      <c r="G487" s="2" t="n">
        <v>0.4065</v>
      </c>
      <c r="H487" s="2" t="n">
        <v>0.8706</v>
      </c>
      <c r="I487" s="2" t="n">
        <v>0.6905</v>
      </c>
      <c r="J487" s="2" t="n">
        <v>0.2241</v>
      </c>
    </row>
    <row r="488" customFormat="false" ht="15" hidden="false" customHeight="false" outlineLevel="0" collapsed="false">
      <c r="A488" s="2" t="s">
        <v>542</v>
      </c>
      <c r="B488" s="2" t="n">
        <v>360</v>
      </c>
      <c r="C488" s="2" t="s">
        <v>543</v>
      </c>
      <c r="D488" s="2" t="s">
        <v>28</v>
      </c>
      <c r="E488" s="2" t="n">
        <v>0.55</v>
      </c>
      <c r="F488" s="2" t="n">
        <v>0.5108</v>
      </c>
      <c r="G488" s="2" t="n">
        <v>0.1783</v>
      </c>
      <c r="H488" s="2" t="n">
        <v>0.3985</v>
      </c>
      <c r="I488" s="2" t="n">
        <v>0.3007</v>
      </c>
      <c r="J488" s="2" t="n">
        <v>0.0622</v>
      </c>
    </row>
    <row r="489" customFormat="false" ht="15" hidden="false" customHeight="false" outlineLevel="0" collapsed="false">
      <c r="A489" s="2" t="s">
        <v>544</v>
      </c>
      <c r="B489" s="2" t="n">
        <v>360</v>
      </c>
      <c r="C489" s="2" t="s">
        <v>543</v>
      </c>
      <c r="D489" s="2" t="s">
        <v>28</v>
      </c>
      <c r="E489" s="2" t="n">
        <v>0.8</v>
      </c>
      <c r="F489" s="2" t="n">
        <v>0.5608</v>
      </c>
      <c r="G489" s="2" t="n">
        <v>0.2003</v>
      </c>
      <c r="H489" s="2" t="n">
        <v>0.4533</v>
      </c>
      <c r="I489" s="2" t="n">
        <v>0.3457</v>
      </c>
      <c r="J489" s="2" t="n">
        <v>0.0741</v>
      </c>
    </row>
    <row r="490" customFormat="false" ht="15" hidden="false" customHeight="false" outlineLevel="0" collapsed="false">
      <c r="A490" s="2" t="s">
        <v>545</v>
      </c>
      <c r="B490" s="2" t="n">
        <v>360</v>
      </c>
      <c r="C490" s="2" t="s">
        <v>543</v>
      </c>
      <c r="D490" s="2" t="s">
        <v>28</v>
      </c>
      <c r="E490" s="2" t="n">
        <v>1</v>
      </c>
      <c r="F490" s="2" t="n">
        <v>0.5955</v>
      </c>
      <c r="G490" s="2" t="n">
        <v>0.2136</v>
      </c>
      <c r="H490" s="2" t="n">
        <v>0.4901</v>
      </c>
      <c r="I490" s="2" t="n">
        <v>0.3762</v>
      </c>
      <c r="J490" s="2" t="n">
        <v>0.0813</v>
      </c>
    </row>
    <row r="491" customFormat="false" ht="15" hidden="false" customHeight="false" outlineLevel="0" collapsed="false">
      <c r="A491" s="2" t="s">
        <v>546</v>
      </c>
      <c r="B491" s="2" t="n">
        <v>360</v>
      </c>
      <c r="C491" s="2" t="s">
        <v>543</v>
      </c>
      <c r="D491" s="2" t="s">
        <v>28</v>
      </c>
      <c r="E491" s="2" t="n">
        <v>1.3</v>
      </c>
      <c r="F491" s="2" t="n">
        <v>0.6401</v>
      </c>
      <c r="G491" s="2" t="n">
        <v>0.2323</v>
      </c>
      <c r="H491" s="2" t="n">
        <v>0.5369</v>
      </c>
      <c r="I491" s="2" t="n">
        <v>0.4147</v>
      </c>
      <c r="J491" s="2" t="n">
        <v>0.0921</v>
      </c>
    </row>
    <row r="492" customFormat="false" ht="15" hidden="false" customHeight="false" outlineLevel="0" collapsed="false">
      <c r="A492" s="2" t="s">
        <v>547</v>
      </c>
      <c r="B492" s="2" t="n">
        <v>360</v>
      </c>
      <c r="C492" s="2" t="s">
        <v>543</v>
      </c>
      <c r="D492" s="2" t="s">
        <v>28</v>
      </c>
      <c r="E492" s="2" t="n">
        <v>1.85</v>
      </c>
      <c r="F492" s="2" t="n">
        <v>0.7082</v>
      </c>
      <c r="G492" s="2" t="n">
        <v>0.2593</v>
      </c>
      <c r="H492" s="2" t="n">
        <v>0.6069</v>
      </c>
      <c r="I492" s="2" t="n">
        <v>0.4719</v>
      </c>
      <c r="J492" s="2" t="n">
        <v>0.1072</v>
      </c>
    </row>
    <row r="493" customFormat="false" ht="15" hidden="false" customHeight="false" outlineLevel="0" collapsed="false">
      <c r="A493" s="2" t="s">
        <v>548</v>
      </c>
      <c r="B493" s="2" t="n">
        <v>360</v>
      </c>
      <c r="C493" s="2" t="s">
        <v>543</v>
      </c>
      <c r="D493" s="2" t="s">
        <v>28</v>
      </c>
      <c r="E493" s="2" t="n">
        <v>2.4</v>
      </c>
      <c r="F493" s="2" t="n">
        <v>0.7605</v>
      </c>
      <c r="G493" s="2" t="n">
        <v>0.2809</v>
      </c>
      <c r="H493" s="2" t="n">
        <v>0.6615</v>
      </c>
      <c r="I493" s="2" t="n">
        <v>0.5173</v>
      </c>
      <c r="J493" s="2" t="n">
        <v>0.1208</v>
      </c>
    </row>
    <row r="494" customFormat="false" ht="15" hidden="false" customHeight="false" outlineLevel="0" collapsed="false">
      <c r="A494" s="2" t="s">
        <v>549</v>
      </c>
      <c r="B494" s="2" t="n">
        <v>360</v>
      </c>
      <c r="C494" s="2" t="s">
        <v>543</v>
      </c>
      <c r="D494" s="2" t="s">
        <v>35</v>
      </c>
      <c r="E494" s="2" t="n">
        <v>0.55</v>
      </c>
      <c r="F494" s="2" t="n">
        <v>0.6098</v>
      </c>
      <c r="G494" s="2" t="n">
        <v>0.2489</v>
      </c>
      <c r="H494" s="2" t="n">
        <v>0.4823</v>
      </c>
      <c r="I494" s="2" t="n">
        <v>0.346</v>
      </c>
      <c r="J494" s="2" t="n">
        <v>0.0899</v>
      </c>
    </row>
    <row r="495" customFormat="false" ht="15" hidden="false" customHeight="false" outlineLevel="0" collapsed="false">
      <c r="A495" s="2" t="s">
        <v>550</v>
      </c>
      <c r="B495" s="2" t="n">
        <v>360</v>
      </c>
      <c r="C495" s="2" t="s">
        <v>543</v>
      </c>
      <c r="D495" s="2" t="s">
        <v>35</v>
      </c>
      <c r="E495" s="2" t="n">
        <v>0.8</v>
      </c>
      <c r="F495" s="2" t="n">
        <v>0.6754</v>
      </c>
      <c r="G495" s="2" t="n">
        <v>0.2818</v>
      </c>
      <c r="H495" s="2" t="n">
        <v>0.5566</v>
      </c>
      <c r="I495" s="2" t="n">
        <v>0.4059</v>
      </c>
      <c r="J495" s="2" t="n">
        <v>0.109</v>
      </c>
    </row>
    <row r="496" customFormat="false" ht="15" hidden="false" customHeight="false" outlineLevel="0" collapsed="false">
      <c r="A496" s="2" t="s">
        <v>551</v>
      </c>
      <c r="B496" s="2" t="n">
        <v>360</v>
      </c>
      <c r="C496" s="2" t="s">
        <v>543</v>
      </c>
      <c r="D496" s="2" t="s">
        <v>35</v>
      </c>
      <c r="E496" s="2" t="n">
        <v>1</v>
      </c>
      <c r="F496" s="2" t="n">
        <v>0.718</v>
      </c>
      <c r="G496" s="2" t="n">
        <v>0.3014</v>
      </c>
      <c r="H496" s="2" t="n">
        <v>0.6031</v>
      </c>
      <c r="I496" s="2" t="n">
        <v>0.4437</v>
      </c>
      <c r="J496" s="2" t="n">
        <v>0.1211</v>
      </c>
    </row>
    <row r="497" customFormat="false" ht="15" hidden="false" customHeight="false" outlineLevel="0" collapsed="false">
      <c r="A497" s="2" t="s">
        <v>552</v>
      </c>
      <c r="B497" s="2" t="n">
        <v>360</v>
      </c>
      <c r="C497" s="2" t="s">
        <v>543</v>
      </c>
      <c r="D497" s="2" t="s">
        <v>35</v>
      </c>
      <c r="E497" s="2" t="n">
        <v>1.3</v>
      </c>
      <c r="F497" s="2" t="n">
        <v>0.7665</v>
      </c>
      <c r="G497" s="2" t="n">
        <v>0.3234</v>
      </c>
      <c r="H497" s="2" t="n">
        <v>0.6539</v>
      </c>
      <c r="I497" s="2" t="n">
        <v>0.4857</v>
      </c>
      <c r="J497" s="2" t="n">
        <v>0.1343</v>
      </c>
    </row>
    <row r="498" customFormat="false" ht="15" hidden="false" customHeight="false" outlineLevel="0" collapsed="false">
      <c r="A498" s="2" t="s">
        <v>553</v>
      </c>
      <c r="B498" s="2" t="n">
        <v>360</v>
      </c>
      <c r="C498" s="2" t="s">
        <v>543</v>
      </c>
      <c r="D498" s="2" t="s">
        <v>35</v>
      </c>
      <c r="E498" s="2" t="n">
        <v>1.85</v>
      </c>
      <c r="F498" s="2" t="n">
        <v>0.8301</v>
      </c>
      <c r="G498" s="2" t="n">
        <v>0.3544</v>
      </c>
      <c r="H498" s="2" t="n">
        <v>0.7233</v>
      </c>
      <c r="I498" s="2" t="n">
        <v>0.541</v>
      </c>
      <c r="J498" s="2" t="n">
        <v>0.1546</v>
      </c>
    </row>
    <row r="499" customFormat="false" ht="15" hidden="false" customHeight="false" outlineLevel="0" collapsed="false">
      <c r="A499" s="2" t="s">
        <v>554</v>
      </c>
      <c r="B499" s="2" t="n">
        <v>360</v>
      </c>
      <c r="C499" s="2" t="s">
        <v>543</v>
      </c>
      <c r="D499" s="2" t="s">
        <v>35</v>
      </c>
      <c r="E499" s="2" t="n">
        <v>2.4</v>
      </c>
      <c r="F499" s="2" t="n">
        <v>0.8687</v>
      </c>
      <c r="G499" s="2" t="n">
        <v>0.3741</v>
      </c>
      <c r="H499" s="2" t="n">
        <v>0.7658</v>
      </c>
      <c r="I499" s="2" t="n">
        <v>0.5759</v>
      </c>
      <c r="J499" s="2" t="n">
        <v>0.1687</v>
      </c>
    </row>
    <row r="500" customFormat="false" ht="15" hidden="false" customHeight="false" outlineLevel="0" collapsed="false">
      <c r="A500" s="2" t="s">
        <v>555</v>
      </c>
      <c r="B500" s="2" t="n">
        <v>360</v>
      </c>
      <c r="C500" s="2" t="s">
        <v>543</v>
      </c>
      <c r="D500" s="2" t="s">
        <v>42</v>
      </c>
      <c r="E500" s="2" t="n">
        <v>0.55</v>
      </c>
      <c r="F500" s="2" t="n">
        <v>0.9344</v>
      </c>
      <c r="G500" s="2" t="n">
        <v>0.3807</v>
      </c>
      <c r="H500" s="2" t="n">
        <v>0.8509</v>
      </c>
      <c r="I500" s="2" t="n">
        <v>0.6795</v>
      </c>
      <c r="J500" s="2" t="n">
        <v>0.2002</v>
      </c>
    </row>
    <row r="501" customFormat="false" ht="15" hidden="false" customHeight="false" outlineLevel="0" collapsed="false">
      <c r="A501" s="2" t="s">
        <v>556</v>
      </c>
      <c r="B501" s="2" t="n">
        <v>360</v>
      </c>
      <c r="C501" s="2" t="s">
        <v>543</v>
      </c>
      <c r="D501" s="2" t="s">
        <v>42</v>
      </c>
      <c r="E501" s="2" t="n">
        <v>0.8</v>
      </c>
      <c r="F501" s="2" t="n">
        <v>0.9344</v>
      </c>
      <c r="G501" s="2" t="n">
        <v>0.3808</v>
      </c>
      <c r="H501" s="2" t="n">
        <v>0.8509</v>
      </c>
      <c r="I501" s="2" t="n">
        <v>0.6795</v>
      </c>
      <c r="J501" s="2" t="n">
        <v>0.2004</v>
      </c>
    </row>
    <row r="502" customFormat="false" ht="15" hidden="false" customHeight="false" outlineLevel="0" collapsed="false">
      <c r="A502" s="2" t="s">
        <v>557</v>
      </c>
      <c r="B502" s="2" t="n">
        <v>360</v>
      </c>
      <c r="C502" s="2" t="s">
        <v>543</v>
      </c>
      <c r="D502" s="2" t="s">
        <v>42</v>
      </c>
      <c r="E502" s="2" t="n">
        <v>1</v>
      </c>
      <c r="F502" s="2" t="n">
        <v>0.9344</v>
      </c>
      <c r="G502" s="2" t="n">
        <v>0.3811</v>
      </c>
      <c r="H502" s="2" t="n">
        <v>0.8509</v>
      </c>
      <c r="I502" s="2" t="n">
        <v>0.6795</v>
      </c>
      <c r="J502" s="2" t="n">
        <v>0.2007</v>
      </c>
    </row>
    <row r="503" customFormat="false" ht="15" hidden="false" customHeight="false" outlineLevel="0" collapsed="false">
      <c r="A503" s="2" t="s">
        <v>558</v>
      </c>
      <c r="B503" s="2" t="n">
        <v>360</v>
      </c>
      <c r="C503" s="2" t="s">
        <v>543</v>
      </c>
      <c r="D503" s="2" t="s">
        <v>42</v>
      </c>
      <c r="E503" s="2" t="n">
        <v>1.3</v>
      </c>
      <c r="F503" s="2" t="n">
        <v>0.9344</v>
      </c>
      <c r="G503" s="2" t="n">
        <v>0.3815</v>
      </c>
      <c r="H503" s="2" t="n">
        <v>0.8512</v>
      </c>
      <c r="I503" s="2" t="n">
        <v>0.6796</v>
      </c>
      <c r="J503" s="2" t="n">
        <v>0.201</v>
      </c>
    </row>
    <row r="504" customFormat="false" ht="15" hidden="false" customHeight="false" outlineLevel="0" collapsed="false">
      <c r="A504" s="2" t="s">
        <v>559</v>
      </c>
      <c r="B504" s="2" t="n">
        <v>360</v>
      </c>
      <c r="C504" s="2" t="s">
        <v>543</v>
      </c>
      <c r="D504" s="2" t="s">
        <v>42</v>
      </c>
      <c r="E504" s="2" t="n">
        <v>1.85</v>
      </c>
      <c r="F504" s="2" t="n">
        <v>0.9344</v>
      </c>
      <c r="G504" s="2" t="n">
        <v>0.3836</v>
      </c>
      <c r="H504" s="2" t="n">
        <v>0.8533</v>
      </c>
      <c r="I504" s="2" t="n">
        <v>0.68</v>
      </c>
      <c r="J504" s="2" t="n">
        <v>0.2027</v>
      </c>
    </row>
    <row r="505" customFormat="false" ht="15" hidden="false" customHeight="false" outlineLevel="0" collapsed="false">
      <c r="A505" s="2" t="s">
        <v>560</v>
      </c>
      <c r="B505" s="2" t="n">
        <v>360</v>
      </c>
      <c r="C505" s="2" t="s">
        <v>543</v>
      </c>
      <c r="D505" s="2" t="s">
        <v>42</v>
      </c>
      <c r="E505" s="2" t="n">
        <v>2.4</v>
      </c>
      <c r="F505" s="2" t="n">
        <v>0.9344</v>
      </c>
      <c r="G505" s="2" t="n">
        <v>0.3858</v>
      </c>
      <c r="H505" s="2" t="n">
        <v>0.8556</v>
      </c>
      <c r="I505" s="2" t="n">
        <v>0.6808</v>
      </c>
      <c r="J505" s="2" t="n">
        <v>0.2046</v>
      </c>
    </row>
    <row r="506" customFormat="false" ht="15" hidden="false" customHeight="false" outlineLevel="0" collapsed="false">
      <c r="A506" s="2" t="s">
        <v>561</v>
      </c>
      <c r="B506" s="2" t="n">
        <v>340</v>
      </c>
      <c r="C506" s="2" t="s">
        <v>562</v>
      </c>
      <c r="D506" s="2" t="s">
        <v>28</v>
      </c>
      <c r="E506" s="2" t="n">
        <v>0.55</v>
      </c>
      <c r="F506" s="2" t="n">
        <v>0.4879</v>
      </c>
      <c r="G506" s="2" t="n">
        <v>0.1641</v>
      </c>
      <c r="H506" s="2" t="n">
        <v>0.377</v>
      </c>
      <c r="I506" s="2" t="n">
        <v>0.2848</v>
      </c>
      <c r="J506" s="2" t="n">
        <v>0.0542</v>
      </c>
    </row>
    <row r="507" customFormat="false" ht="15" hidden="false" customHeight="false" outlineLevel="0" collapsed="false">
      <c r="A507" s="2" t="s">
        <v>563</v>
      </c>
      <c r="B507" s="2" t="n">
        <v>340</v>
      </c>
      <c r="C507" s="2" t="s">
        <v>562</v>
      </c>
      <c r="D507" s="2" t="s">
        <v>28</v>
      </c>
      <c r="E507" s="2" t="n">
        <v>0.8</v>
      </c>
      <c r="F507" s="2" t="n">
        <v>0.5364</v>
      </c>
      <c r="G507" s="2" t="n">
        <v>0.1849</v>
      </c>
      <c r="H507" s="2" t="n">
        <v>0.4296</v>
      </c>
      <c r="I507" s="2" t="n">
        <v>0.3277</v>
      </c>
      <c r="J507" s="2" t="n">
        <v>0.0646</v>
      </c>
    </row>
    <row r="508" customFormat="false" ht="15" hidden="false" customHeight="false" outlineLevel="0" collapsed="false">
      <c r="A508" s="2" t="s">
        <v>564</v>
      </c>
      <c r="B508" s="2" t="n">
        <v>340</v>
      </c>
      <c r="C508" s="2" t="s">
        <v>562</v>
      </c>
      <c r="D508" s="2" t="s">
        <v>28</v>
      </c>
      <c r="E508" s="2" t="n">
        <v>1</v>
      </c>
      <c r="F508" s="2" t="n">
        <v>0.5702</v>
      </c>
      <c r="G508" s="2" t="n">
        <v>0.1973</v>
      </c>
      <c r="H508" s="2" t="n">
        <v>0.4651</v>
      </c>
      <c r="I508" s="2" t="n">
        <v>0.3571</v>
      </c>
      <c r="J508" s="2" t="n">
        <v>0.0709</v>
      </c>
    </row>
    <row r="509" customFormat="false" ht="15" hidden="false" customHeight="false" outlineLevel="0" collapsed="false">
      <c r="A509" s="2" t="s">
        <v>565</v>
      </c>
      <c r="B509" s="2" t="n">
        <v>340</v>
      </c>
      <c r="C509" s="2" t="s">
        <v>562</v>
      </c>
      <c r="D509" s="2" t="s">
        <v>28</v>
      </c>
      <c r="E509" s="2" t="n">
        <v>1.3</v>
      </c>
      <c r="F509" s="2" t="n">
        <v>0.6124</v>
      </c>
      <c r="G509" s="2" t="n">
        <v>0.2144</v>
      </c>
      <c r="H509" s="2" t="n">
        <v>0.5083</v>
      </c>
      <c r="I509" s="2" t="n">
        <v>0.3928</v>
      </c>
      <c r="J509" s="2" t="n">
        <v>0.0805</v>
      </c>
    </row>
    <row r="510" customFormat="false" ht="15" hidden="false" customHeight="false" outlineLevel="0" collapsed="false">
      <c r="A510" s="2" t="s">
        <v>566</v>
      </c>
      <c r="B510" s="2" t="n">
        <v>340</v>
      </c>
      <c r="C510" s="2" t="s">
        <v>562</v>
      </c>
      <c r="D510" s="2" t="s">
        <v>28</v>
      </c>
      <c r="E510" s="2" t="n">
        <v>1.85</v>
      </c>
      <c r="F510" s="2" t="n">
        <v>0.6802</v>
      </c>
      <c r="G510" s="2" t="n">
        <v>0.241</v>
      </c>
      <c r="H510" s="2" t="n">
        <v>0.5788</v>
      </c>
      <c r="I510" s="2" t="n">
        <v>0.4499</v>
      </c>
      <c r="J510" s="2" t="n">
        <v>0.0942</v>
      </c>
    </row>
    <row r="511" customFormat="false" ht="15" hidden="false" customHeight="false" outlineLevel="0" collapsed="false">
      <c r="A511" s="2" t="s">
        <v>567</v>
      </c>
      <c r="B511" s="2" t="n">
        <v>340</v>
      </c>
      <c r="C511" s="2" t="s">
        <v>562</v>
      </c>
      <c r="D511" s="2" t="s">
        <v>28</v>
      </c>
      <c r="E511" s="2" t="n">
        <v>2.4</v>
      </c>
      <c r="F511" s="2" t="n">
        <v>0.7333</v>
      </c>
      <c r="G511" s="2" t="n">
        <v>0.2612</v>
      </c>
      <c r="H511" s="2" t="n">
        <v>0.6334</v>
      </c>
      <c r="I511" s="2" t="n">
        <v>0.4951</v>
      </c>
      <c r="J511" s="2" t="n">
        <v>0.1058</v>
      </c>
    </row>
    <row r="512" customFormat="false" ht="15" hidden="false" customHeight="false" outlineLevel="0" collapsed="false">
      <c r="A512" s="2" t="s">
        <v>568</v>
      </c>
      <c r="B512" s="2" t="n">
        <v>340</v>
      </c>
      <c r="C512" s="2" t="s">
        <v>562</v>
      </c>
      <c r="D512" s="2" t="s">
        <v>35</v>
      </c>
      <c r="E512" s="2" t="n">
        <v>0.55</v>
      </c>
      <c r="F512" s="2" t="n">
        <v>0.5995</v>
      </c>
      <c r="G512" s="2" t="n">
        <v>0.2378</v>
      </c>
      <c r="H512" s="2" t="n">
        <v>0.4724</v>
      </c>
      <c r="I512" s="2" t="n">
        <v>0.3381</v>
      </c>
      <c r="J512" s="2" t="n">
        <v>0.0807</v>
      </c>
    </row>
    <row r="513" customFormat="false" ht="15" hidden="false" customHeight="false" outlineLevel="0" collapsed="false">
      <c r="A513" s="2" t="s">
        <v>569</v>
      </c>
      <c r="B513" s="2" t="n">
        <v>340</v>
      </c>
      <c r="C513" s="2" t="s">
        <v>562</v>
      </c>
      <c r="D513" s="2" t="s">
        <v>35</v>
      </c>
      <c r="E513" s="2" t="n">
        <v>0.8</v>
      </c>
      <c r="F513" s="2" t="n">
        <v>0.6672</v>
      </c>
      <c r="G513" s="2" t="n">
        <v>0.2699</v>
      </c>
      <c r="H513" s="2" t="n">
        <v>0.5472</v>
      </c>
      <c r="I513" s="2" t="n">
        <v>0.3983</v>
      </c>
      <c r="J513" s="2" t="n">
        <v>0.098</v>
      </c>
    </row>
    <row r="514" customFormat="false" ht="15" hidden="false" customHeight="false" outlineLevel="0" collapsed="false">
      <c r="A514" s="2" t="s">
        <v>570</v>
      </c>
      <c r="B514" s="2" t="n">
        <v>340</v>
      </c>
      <c r="C514" s="2" t="s">
        <v>562</v>
      </c>
      <c r="D514" s="2" t="s">
        <v>35</v>
      </c>
      <c r="E514" s="2" t="n">
        <v>1</v>
      </c>
      <c r="F514" s="2" t="n">
        <v>0.7094</v>
      </c>
      <c r="G514" s="2" t="n">
        <v>0.2887</v>
      </c>
      <c r="H514" s="2" t="n">
        <v>0.5928</v>
      </c>
      <c r="I514" s="2" t="n">
        <v>0.4355</v>
      </c>
      <c r="J514" s="2" t="n">
        <v>0.109</v>
      </c>
    </row>
    <row r="515" customFormat="false" ht="15" hidden="false" customHeight="false" outlineLevel="0" collapsed="false">
      <c r="A515" s="2" t="s">
        <v>571</v>
      </c>
      <c r="B515" s="2" t="n">
        <v>340</v>
      </c>
      <c r="C515" s="2" t="s">
        <v>562</v>
      </c>
      <c r="D515" s="2" t="s">
        <v>35</v>
      </c>
      <c r="E515" s="2" t="n">
        <v>1.3</v>
      </c>
      <c r="F515" s="2" t="n">
        <v>0.7589</v>
      </c>
      <c r="G515" s="2" t="n">
        <v>0.3092</v>
      </c>
      <c r="H515" s="2" t="n">
        <v>0.644</v>
      </c>
      <c r="I515" s="2" t="n">
        <v>0.4777</v>
      </c>
      <c r="J515" s="2" t="n">
        <v>0.1209</v>
      </c>
    </row>
    <row r="516" customFormat="false" ht="15" hidden="false" customHeight="false" outlineLevel="0" collapsed="false">
      <c r="A516" s="2" t="s">
        <v>572</v>
      </c>
      <c r="B516" s="2" t="n">
        <v>340</v>
      </c>
      <c r="C516" s="2" t="s">
        <v>562</v>
      </c>
      <c r="D516" s="2" t="s">
        <v>35</v>
      </c>
      <c r="E516" s="2" t="n">
        <v>1.85</v>
      </c>
      <c r="F516" s="2" t="n">
        <v>0.8221</v>
      </c>
      <c r="G516" s="2" t="n">
        <v>0.3385</v>
      </c>
      <c r="H516" s="2" t="n">
        <v>0.7117</v>
      </c>
      <c r="I516" s="2" t="n">
        <v>0.5327</v>
      </c>
      <c r="J516" s="2" t="n">
        <v>0.1393</v>
      </c>
    </row>
    <row r="517" customFormat="false" ht="15" hidden="false" customHeight="false" outlineLevel="0" collapsed="false">
      <c r="A517" s="2" t="s">
        <v>573</v>
      </c>
      <c r="B517" s="2" t="n">
        <v>340</v>
      </c>
      <c r="C517" s="2" t="s">
        <v>562</v>
      </c>
      <c r="D517" s="2" t="s">
        <v>35</v>
      </c>
      <c r="E517" s="2" t="n">
        <v>2.4</v>
      </c>
      <c r="F517" s="2" t="n">
        <v>0.8601</v>
      </c>
      <c r="G517" s="2" t="n">
        <v>0.3568</v>
      </c>
      <c r="H517" s="2" t="n">
        <v>0.7528</v>
      </c>
      <c r="I517" s="2" t="n">
        <v>0.5667</v>
      </c>
      <c r="J517" s="2" t="n">
        <v>0.1522</v>
      </c>
    </row>
    <row r="518" customFormat="false" ht="15" hidden="false" customHeight="false" outlineLevel="0" collapsed="false">
      <c r="A518" s="2" t="s">
        <v>574</v>
      </c>
      <c r="B518" s="2" t="n">
        <v>340</v>
      </c>
      <c r="C518" s="2" t="s">
        <v>562</v>
      </c>
      <c r="D518" s="2" t="s">
        <v>42</v>
      </c>
      <c r="E518" s="2" t="n">
        <v>0.55</v>
      </c>
      <c r="F518" s="2" t="n">
        <v>0.9238</v>
      </c>
      <c r="G518" s="2" t="n">
        <v>0.3586</v>
      </c>
      <c r="H518" s="2" t="n">
        <v>0.8346</v>
      </c>
      <c r="I518" s="2" t="n">
        <v>0.6676</v>
      </c>
      <c r="J518" s="2" t="n">
        <v>0.1785</v>
      </c>
    </row>
    <row r="519" customFormat="false" ht="15" hidden="false" customHeight="false" outlineLevel="0" collapsed="false">
      <c r="A519" s="2" t="s">
        <v>575</v>
      </c>
      <c r="B519" s="2" t="n">
        <v>340</v>
      </c>
      <c r="C519" s="2" t="s">
        <v>562</v>
      </c>
      <c r="D519" s="2" t="s">
        <v>42</v>
      </c>
      <c r="E519" s="2" t="n">
        <v>0.8</v>
      </c>
      <c r="F519" s="2" t="n">
        <v>0.9238</v>
      </c>
      <c r="G519" s="2" t="n">
        <v>0.3587</v>
      </c>
      <c r="H519" s="2" t="n">
        <v>0.8346</v>
      </c>
      <c r="I519" s="2" t="n">
        <v>0.6676</v>
      </c>
      <c r="J519" s="2" t="n">
        <v>0.1786</v>
      </c>
    </row>
    <row r="520" customFormat="false" ht="15" hidden="false" customHeight="false" outlineLevel="0" collapsed="false">
      <c r="A520" s="2" t="s">
        <v>576</v>
      </c>
      <c r="B520" s="2" t="n">
        <v>340</v>
      </c>
      <c r="C520" s="2" t="s">
        <v>562</v>
      </c>
      <c r="D520" s="2" t="s">
        <v>42</v>
      </c>
      <c r="E520" s="2" t="n">
        <v>1</v>
      </c>
      <c r="F520" s="2" t="n">
        <v>0.9238</v>
      </c>
      <c r="G520" s="2" t="n">
        <v>0.3588</v>
      </c>
      <c r="H520" s="2" t="n">
        <v>0.8346</v>
      </c>
      <c r="I520" s="2" t="n">
        <v>0.6676</v>
      </c>
      <c r="J520" s="2" t="n">
        <v>0.1787</v>
      </c>
    </row>
    <row r="521" customFormat="false" ht="15" hidden="false" customHeight="false" outlineLevel="0" collapsed="false">
      <c r="A521" s="2" t="s">
        <v>577</v>
      </c>
      <c r="B521" s="2" t="n">
        <v>340</v>
      </c>
      <c r="C521" s="2" t="s">
        <v>562</v>
      </c>
      <c r="D521" s="2" t="s">
        <v>42</v>
      </c>
      <c r="E521" s="2" t="n">
        <v>1.3</v>
      </c>
      <c r="F521" s="2" t="n">
        <v>0.9238</v>
      </c>
      <c r="G521" s="2" t="n">
        <v>0.3591</v>
      </c>
      <c r="H521" s="2" t="n">
        <v>0.8349</v>
      </c>
      <c r="I521" s="2" t="n">
        <v>0.6676</v>
      </c>
      <c r="J521" s="2" t="n">
        <v>0.1789</v>
      </c>
    </row>
    <row r="522" customFormat="false" ht="15" hidden="false" customHeight="false" outlineLevel="0" collapsed="false">
      <c r="A522" s="2" t="s">
        <v>578</v>
      </c>
      <c r="B522" s="2" t="n">
        <v>340</v>
      </c>
      <c r="C522" s="2" t="s">
        <v>562</v>
      </c>
      <c r="D522" s="2" t="s">
        <v>42</v>
      </c>
      <c r="E522" s="2" t="n">
        <v>1.85</v>
      </c>
      <c r="F522" s="2" t="n">
        <v>0.9238</v>
      </c>
      <c r="G522" s="2" t="n">
        <v>0.3612</v>
      </c>
      <c r="H522" s="2" t="n">
        <v>0.837</v>
      </c>
      <c r="I522" s="2" t="n">
        <v>0.6684</v>
      </c>
      <c r="J522" s="2" t="n">
        <v>0.1806</v>
      </c>
    </row>
    <row r="523" customFormat="false" ht="15" hidden="false" customHeight="false" outlineLevel="0" collapsed="false">
      <c r="A523" s="2" t="s">
        <v>579</v>
      </c>
      <c r="B523" s="2" t="n">
        <v>340</v>
      </c>
      <c r="C523" s="2" t="s">
        <v>562</v>
      </c>
      <c r="D523" s="2" t="s">
        <v>42</v>
      </c>
      <c r="E523" s="2" t="n">
        <v>2.4</v>
      </c>
      <c r="F523" s="2" t="n">
        <v>0.9238</v>
      </c>
      <c r="G523" s="2" t="n">
        <v>0.3633</v>
      </c>
      <c r="H523" s="2" t="n">
        <v>0.8393</v>
      </c>
      <c r="I523" s="2" t="n">
        <v>0.6692</v>
      </c>
      <c r="J523" s="2" t="n">
        <v>0.1826</v>
      </c>
    </row>
    <row r="524" customFormat="false" ht="15" hidden="false" customHeight="false" outlineLevel="0" collapsed="false">
      <c r="A524" s="2" t="s">
        <v>580</v>
      </c>
      <c r="B524" s="2" t="n">
        <v>320</v>
      </c>
      <c r="C524" s="2" t="s">
        <v>581</v>
      </c>
      <c r="D524" s="2" t="s">
        <v>28</v>
      </c>
      <c r="E524" s="2" t="n">
        <v>0.55</v>
      </c>
      <c r="F524" s="2" t="n">
        <v>0.4634</v>
      </c>
      <c r="G524" s="2" t="n">
        <v>0.1475</v>
      </c>
      <c r="H524" s="2" t="n">
        <v>0.3541</v>
      </c>
      <c r="I524" s="2" t="n">
        <v>0.271</v>
      </c>
      <c r="J524" s="2" t="n">
        <v>0.0479</v>
      </c>
    </row>
    <row r="525" customFormat="false" ht="15" hidden="false" customHeight="false" outlineLevel="0" collapsed="false">
      <c r="A525" s="2" t="s">
        <v>582</v>
      </c>
      <c r="B525" s="2" t="n">
        <v>320</v>
      </c>
      <c r="C525" s="2" t="s">
        <v>581</v>
      </c>
      <c r="D525" s="2" t="s">
        <v>28</v>
      </c>
      <c r="E525" s="2" t="n">
        <v>0.8</v>
      </c>
      <c r="F525" s="2" t="n">
        <v>0.5104</v>
      </c>
      <c r="G525" s="2" t="n">
        <v>0.1674</v>
      </c>
      <c r="H525" s="2" t="n">
        <v>0.4056</v>
      </c>
      <c r="I525" s="2" t="n">
        <v>0.3114</v>
      </c>
      <c r="J525" s="2" t="n">
        <v>0.0559</v>
      </c>
    </row>
    <row r="526" customFormat="false" ht="15" hidden="false" customHeight="false" outlineLevel="0" collapsed="false">
      <c r="A526" s="2" t="s">
        <v>583</v>
      </c>
      <c r="B526" s="2" t="n">
        <v>320</v>
      </c>
      <c r="C526" s="2" t="s">
        <v>581</v>
      </c>
      <c r="D526" s="2" t="s">
        <v>28</v>
      </c>
      <c r="E526" s="2" t="n">
        <v>1</v>
      </c>
      <c r="F526" s="2" t="n">
        <v>0.5425</v>
      </c>
      <c r="G526" s="2" t="n">
        <v>0.1793</v>
      </c>
      <c r="H526" s="2" t="n">
        <v>0.4382</v>
      </c>
      <c r="I526" s="2" t="n">
        <v>0.3393</v>
      </c>
      <c r="J526" s="2" t="n">
        <v>0.0628</v>
      </c>
    </row>
    <row r="527" customFormat="false" ht="15" hidden="false" customHeight="false" outlineLevel="0" collapsed="false">
      <c r="A527" s="2" t="s">
        <v>584</v>
      </c>
      <c r="B527" s="2" t="n">
        <v>320</v>
      </c>
      <c r="C527" s="2" t="s">
        <v>581</v>
      </c>
      <c r="D527" s="2" t="s">
        <v>28</v>
      </c>
      <c r="E527" s="2" t="n">
        <v>1.3</v>
      </c>
      <c r="F527" s="2" t="n">
        <v>0.5848</v>
      </c>
      <c r="G527" s="2" t="n">
        <v>0.196</v>
      </c>
      <c r="H527" s="2" t="n">
        <v>0.4811</v>
      </c>
      <c r="I527" s="2" t="n">
        <v>0.3744</v>
      </c>
      <c r="J527" s="2" t="n">
        <v>0.071</v>
      </c>
    </row>
    <row r="528" customFormat="false" ht="15" hidden="false" customHeight="false" outlineLevel="0" collapsed="false">
      <c r="A528" s="2" t="s">
        <v>585</v>
      </c>
      <c r="B528" s="2" t="n">
        <v>320</v>
      </c>
      <c r="C528" s="2" t="s">
        <v>581</v>
      </c>
      <c r="D528" s="2" t="s">
        <v>28</v>
      </c>
      <c r="E528" s="2" t="n">
        <v>1.85</v>
      </c>
      <c r="F528" s="2" t="n">
        <v>0.6508</v>
      </c>
      <c r="G528" s="2" t="n">
        <v>0.2212</v>
      </c>
      <c r="H528" s="2" t="n">
        <v>0.5485</v>
      </c>
      <c r="I528" s="2" t="n">
        <v>0.4288</v>
      </c>
      <c r="J528" s="2" t="n">
        <v>0.0834</v>
      </c>
    </row>
    <row r="529" customFormat="false" ht="15" hidden="false" customHeight="false" outlineLevel="0" collapsed="false">
      <c r="A529" s="2" t="s">
        <v>586</v>
      </c>
      <c r="B529" s="2" t="n">
        <v>320</v>
      </c>
      <c r="C529" s="2" t="s">
        <v>581</v>
      </c>
      <c r="D529" s="2" t="s">
        <v>28</v>
      </c>
      <c r="E529" s="2" t="n">
        <v>2.4</v>
      </c>
      <c r="F529" s="2" t="n">
        <v>0.7054</v>
      </c>
      <c r="G529" s="2" t="n">
        <v>0.2398</v>
      </c>
      <c r="H529" s="2" t="n">
        <v>0.6036</v>
      </c>
      <c r="I529" s="2" t="n">
        <v>0.4756</v>
      </c>
      <c r="J529" s="2" t="n">
        <v>0.0938</v>
      </c>
    </row>
    <row r="530" customFormat="false" ht="15" hidden="false" customHeight="false" outlineLevel="0" collapsed="false">
      <c r="A530" s="2" t="s">
        <v>587</v>
      </c>
      <c r="B530" s="2" t="n">
        <v>320</v>
      </c>
      <c r="C530" s="2" t="s">
        <v>581</v>
      </c>
      <c r="D530" s="2" t="s">
        <v>35</v>
      </c>
      <c r="E530" s="2" t="n">
        <v>0.55</v>
      </c>
      <c r="F530" s="2" t="n">
        <v>0.5874</v>
      </c>
      <c r="G530" s="2" t="n">
        <v>0.2234</v>
      </c>
      <c r="H530" s="2" t="n">
        <v>0.4587</v>
      </c>
      <c r="I530" s="2" t="n">
        <v>0.3321</v>
      </c>
      <c r="J530" s="2" t="n">
        <v>0.0732</v>
      </c>
    </row>
    <row r="531" customFormat="false" ht="15" hidden="false" customHeight="false" outlineLevel="0" collapsed="false">
      <c r="A531" s="2" t="s">
        <v>588</v>
      </c>
      <c r="B531" s="2" t="n">
        <v>320</v>
      </c>
      <c r="C531" s="2" t="s">
        <v>581</v>
      </c>
      <c r="D531" s="2" t="s">
        <v>35</v>
      </c>
      <c r="E531" s="2" t="n">
        <v>0.8</v>
      </c>
      <c r="F531" s="2" t="n">
        <v>0.6546</v>
      </c>
      <c r="G531" s="2" t="n">
        <v>0.2551</v>
      </c>
      <c r="H531" s="2" t="n">
        <v>0.5325</v>
      </c>
      <c r="I531" s="2" t="n">
        <v>0.3903</v>
      </c>
      <c r="J531" s="2" t="n">
        <v>0.0893</v>
      </c>
    </row>
    <row r="532" customFormat="false" ht="15" hidden="false" customHeight="false" outlineLevel="0" collapsed="false">
      <c r="A532" s="2" t="s">
        <v>589</v>
      </c>
      <c r="B532" s="2" t="n">
        <v>320</v>
      </c>
      <c r="C532" s="2" t="s">
        <v>581</v>
      </c>
      <c r="D532" s="2" t="s">
        <v>35</v>
      </c>
      <c r="E532" s="2" t="n">
        <v>1</v>
      </c>
      <c r="F532" s="2" t="n">
        <v>0.6969</v>
      </c>
      <c r="G532" s="2" t="n">
        <v>0.2731</v>
      </c>
      <c r="H532" s="2" t="n">
        <v>0.5771</v>
      </c>
      <c r="I532" s="2" t="n">
        <v>0.427</v>
      </c>
      <c r="J532" s="2" t="n">
        <v>0.0992</v>
      </c>
    </row>
    <row r="533" customFormat="false" ht="15" hidden="false" customHeight="false" outlineLevel="0" collapsed="false">
      <c r="A533" s="2" t="s">
        <v>590</v>
      </c>
      <c r="B533" s="2" t="n">
        <v>320</v>
      </c>
      <c r="C533" s="2" t="s">
        <v>581</v>
      </c>
      <c r="D533" s="2" t="s">
        <v>35</v>
      </c>
      <c r="E533" s="2" t="n">
        <v>1.3</v>
      </c>
      <c r="F533" s="2" t="n">
        <v>0.7477</v>
      </c>
      <c r="G533" s="2" t="n">
        <v>0.2933</v>
      </c>
      <c r="H533" s="2" t="n">
        <v>0.629</v>
      </c>
      <c r="I533" s="2" t="n">
        <v>0.4704</v>
      </c>
      <c r="J533" s="2" t="n">
        <v>0.1106</v>
      </c>
    </row>
    <row r="534" customFormat="false" ht="15" hidden="false" customHeight="false" outlineLevel="0" collapsed="false">
      <c r="A534" s="2" t="s">
        <v>591</v>
      </c>
      <c r="B534" s="2" t="n">
        <v>320</v>
      </c>
      <c r="C534" s="2" t="s">
        <v>581</v>
      </c>
      <c r="D534" s="2" t="s">
        <v>35</v>
      </c>
      <c r="E534" s="2" t="n">
        <v>1.85</v>
      </c>
      <c r="F534" s="2" t="n">
        <v>0.8105</v>
      </c>
      <c r="G534" s="2" t="n">
        <v>0.32</v>
      </c>
      <c r="H534" s="2" t="n">
        <v>0.6951</v>
      </c>
      <c r="I534" s="2" t="n">
        <v>0.5238</v>
      </c>
      <c r="J534" s="2" t="n">
        <v>0.1261</v>
      </c>
    </row>
    <row r="535" customFormat="false" ht="15" hidden="false" customHeight="false" outlineLevel="0" collapsed="false">
      <c r="A535" s="2" t="s">
        <v>592</v>
      </c>
      <c r="B535" s="2" t="n">
        <v>320</v>
      </c>
      <c r="C535" s="2" t="s">
        <v>581</v>
      </c>
      <c r="D535" s="2" t="s">
        <v>35</v>
      </c>
      <c r="E535" s="2" t="n">
        <v>2.4</v>
      </c>
      <c r="F535" s="2" t="n">
        <v>0.849</v>
      </c>
      <c r="G535" s="2" t="n">
        <v>0.3385</v>
      </c>
      <c r="H535" s="2" t="n">
        <v>0.7359</v>
      </c>
      <c r="I535" s="2" t="n">
        <v>0.5571</v>
      </c>
      <c r="J535" s="2" t="n">
        <v>0.1386</v>
      </c>
    </row>
    <row r="536" customFormat="false" ht="15" hidden="false" customHeight="false" outlineLevel="0" collapsed="false">
      <c r="A536" s="2" t="s">
        <v>593</v>
      </c>
      <c r="B536" s="2" t="n">
        <v>320</v>
      </c>
      <c r="C536" s="2" t="s">
        <v>581</v>
      </c>
      <c r="D536" s="2" t="s">
        <v>42</v>
      </c>
      <c r="E536" s="2" t="n">
        <v>0.55</v>
      </c>
      <c r="F536" s="2" t="n">
        <v>0.9116</v>
      </c>
      <c r="G536" s="2" t="n">
        <v>0.3358</v>
      </c>
      <c r="H536" s="2" t="n">
        <v>0.8168</v>
      </c>
      <c r="I536" s="2" t="n">
        <v>0.6571</v>
      </c>
      <c r="J536" s="2" t="n">
        <v>0.1598</v>
      </c>
    </row>
    <row r="537" customFormat="false" ht="15" hidden="false" customHeight="false" outlineLevel="0" collapsed="false">
      <c r="A537" s="2" t="s">
        <v>594</v>
      </c>
      <c r="B537" s="2" t="n">
        <v>320</v>
      </c>
      <c r="C537" s="2" t="s">
        <v>581</v>
      </c>
      <c r="D537" s="2" t="s">
        <v>42</v>
      </c>
      <c r="E537" s="2" t="n">
        <v>0.8</v>
      </c>
      <c r="F537" s="2" t="n">
        <v>0.9116</v>
      </c>
      <c r="G537" s="2" t="n">
        <v>0.3359</v>
      </c>
      <c r="H537" s="2" t="n">
        <v>0.8168</v>
      </c>
      <c r="I537" s="2" t="n">
        <v>0.6571</v>
      </c>
      <c r="J537" s="2" t="n">
        <v>0.1599</v>
      </c>
    </row>
    <row r="538" customFormat="false" ht="15" hidden="false" customHeight="false" outlineLevel="0" collapsed="false">
      <c r="A538" s="2" t="s">
        <v>595</v>
      </c>
      <c r="B538" s="2" t="n">
        <v>320</v>
      </c>
      <c r="C538" s="2" t="s">
        <v>581</v>
      </c>
      <c r="D538" s="2" t="s">
        <v>42</v>
      </c>
      <c r="E538" s="2" t="n">
        <v>1</v>
      </c>
      <c r="F538" s="2" t="n">
        <v>0.9116</v>
      </c>
      <c r="G538" s="2" t="n">
        <v>0.3359</v>
      </c>
      <c r="H538" s="2" t="n">
        <v>0.8168</v>
      </c>
      <c r="I538" s="2" t="n">
        <v>0.6571</v>
      </c>
      <c r="J538" s="2" t="n">
        <v>0.1599</v>
      </c>
    </row>
    <row r="539" customFormat="false" ht="15" hidden="false" customHeight="false" outlineLevel="0" collapsed="false">
      <c r="A539" s="2" t="s">
        <v>596</v>
      </c>
      <c r="B539" s="2" t="n">
        <v>320</v>
      </c>
      <c r="C539" s="2" t="s">
        <v>581</v>
      </c>
      <c r="D539" s="2" t="s">
        <v>42</v>
      </c>
      <c r="E539" s="2" t="n">
        <v>1.3</v>
      </c>
      <c r="F539" s="2" t="n">
        <v>0.9116</v>
      </c>
      <c r="G539" s="2" t="n">
        <v>0.3364</v>
      </c>
      <c r="H539" s="2" t="n">
        <v>0.8174</v>
      </c>
      <c r="I539" s="2" t="n">
        <v>0.6572</v>
      </c>
      <c r="J539" s="2" t="n">
        <v>0.1601</v>
      </c>
    </row>
    <row r="540" customFormat="false" ht="15" hidden="false" customHeight="false" outlineLevel="0" collapsed="false">
      <c r="A540" s="2" t="s">
        <v>597</v>
      </c>
      <c r="B540" s="2" t="n">
        <v>320</v>
      </c>
      <c r="C540" s="2" t="s">
        <v>581</v>
      </c>
      <c r="D540" s="2" t="s">
        <v>42</v>
      </c>
      <c r="E540" s="2" t="n">
        <v>1.85</v>
      </c>
      <c r="F540" s="2" t="n">
        <v>0.9116</v>
      </c>
      <c r="G540" s="2" t="n">
        <v>0.3382</v>
      </c>
      <c r="H540" s="2" t="n">
        <v>0.8194</v>
      </c>
      <c r="I540" s="2" t="n">
        <v>0.6578</v>
      </c>
      <c r="J540" s="2" t="n">
        <v>0.1615</v>
      </c>
    </row>
    <row r="541" customFormat="false" ht="15" hidden="false" customHeight="false" outlineLevel="0" collapsed="false">
      <c r="A541" s="2" t="s">
        <v>598</v>
      </c>
      <c r="B541" s="2" t="n">
        <v>320</v>
      </c>
      <c r="C541" s="2" t="s">
        <v>581</v>
      </c>
      <c r="D541" s="2" t="s">
        <v>42</v>
      </c>
      <c r="E541" s="2" t="n">
        <v>2.4</v>
      </c>
      <c r="F541" s="2" t="n">
        <v>0.9116</v>
      </c>
      <c r="G541" s="2" t="n">
        <v>0.3399</v>
      </c>
      <c r="H541" s="2" t="n">
        <v>0.8212</v>
      </c>
      <c r="I541" s="2" t="n">
        <v>0.6588</v>
      </c>
      <c r="J541" s="2" t="n">
        <v>0.1634</v>
      </c>
    </row>
    <row r="542" customFormat="false" ht="15" hidden="false" customHeight="false" outlineLevel="0" collapsed="false">
      <c r="A542" s="2" t="s">
        <v>599</v>
      </c>
      <c r="B542" s="2" t="n">
        <v>300</v>
      </c>
      <c r="C542" s="2" t="s">
        <v>600</v>
      </c>
      <c r="D542" s="2" t="s">
        <v>28</v>
      </c>
      <c r="E542" s="2" t="n">
        <v>0.55</v>
      </c>
      <c r="F542" s="2" t="n">
        <v>0.4359</v>
      </c>
      <c r="G542" s="2" t="n">
        <v>0.131</v>
      </c>
      <c r="H542" s="2" t="n">
        <v>0.3284</v>
      </c>
      <c r="I542" s="2" t="n">
        <v>0.253</v>
      </c>
      <c r="J542" s="2" t="n">
        <v>0.0405</v>
      </c>
    </row>
    <row r="543" customFormat="false" ht="15" hidden="false" customHeight="false" outlineLevel="0" collapsed="false">
      <c r="A543" s="2" t="s">
        <v>601</v>
      </c>
      <c r="B543" s="2" t="n">
        <v>300</v>
      </c>
      <c r="C543" s="2" t="s">
        <v>600</v>
      </c>
      <c r="D543" s="2" t="s">
        <v>28</v>
      </c>
      <c r="E543" s="2" t="n">
        <v>0.8</v>
      </c>
      <c r="F543" s="2" t="n">
        <v>0.4773</v>
      </c>
      <c r="G543" s="2" t="n">
        <v>0.1487</v>
      </c>
      <c r="H543" s="2" t="n">
        <v>0.3733</v>
      </c>
      <c r="I543" s="2" t="n">
        <v>0.2888</v>
      </c>
      <c r="J543" s="2" t="n">
        <v>0.0478</v>
      </c>
    </row>
    <row r="544" customFormat="false" ht="15" hidden="false" customHeight="false" outlineLevel="0" collapsed="false">
      <c r="A544" s="2" t="s">
        <v>602</v>
      </c>
      <c r="B544" s="2" t="n">
        <v>300</v>
      </c>
      <c r="C544" s="2" t="s">
        <v>600</v>
      </c>
      <c r="D544" s="2" t="s">
        <v>28</v>
      </c>
      <c r="E544" s="2" t="n">
        <v>1</v>
      </c>
      <c r="F544" s="2" t="n">
        <v>0.5084</v>
      </c>
      <c r="G544" s="2" t="n">
        <v>0.16</v>
      </c>
      <c r="H544" s="2" t="n">
        <v>0.4048</v>
      </c>
      <c r="I544" s="2" t="n">
        <v>0.3148</v>
      </c>
      <c r="J544" s="2" t="n">
        <v>0.0534</v>
      </c>
    </row>
    <row r="545" customFormat="false" ht="15" hidden="false" customHeight="false" outlineLevel="0" collapsed="false">
      <c r="A545" s="2" t="s">
        <v>603</v>
      </c>
      <c r="B545" s="2" t="n">
        <v>300</v>
      </c>
      <c r="C545" s="2" t="s">
        <v>600</v>
      </c>
      <c r="D545" s="2" t="s">
        <v>28</v>
      </c>
      <c r="E545" s="2" t="n">
        <v>1.3</v>
      </c>
      <c r="F545" s="2" t="n">
        <v>0.5496</v>
      </c>
      <c r="G545" s="2" t="n">
        <v>0.1751</v>
      </c>
      <c r="H545" s="2" t="n">
        <v>0.446</v>
      </c>
      <c r="I545" s="2" t="n">
        <v>0.348</v>
      </c>
      <c r="J545" s="2" t="n">
        <v>0.0595</v>
      </c>
    </row>
    <row r="546" customFormat="false" ht="15" hidden="false" customHeight="false" outlineLevel="0" collapsed="false">
      <c r="A546" s="2" t="s">
        <v>604</v>
      </c>
      <c r="B546" s="2" t="n">
        <v>300</v>
      </c>
      <c r="C546" s="2" t="s">
        <v>600</v>
      </c>
      <c r="D546" s="2" t="s">
        <v>28</v>
      </c>
      <c r="E546" s="2" t="n">
        <v>1.85</v>
      </c>
      <c r="F546" s="2" t="n">
        <v>0.6145</v>
      </c>
      <c r="G546" s="2" t="n">
        <v>0.199</v>
      </c>
      <c r="H546" s="2" t="n">
        <v>0.5118</v>
      </c>
      <c r="I546" s="2" t="n">
        <v>0.4015</v>
      </c>
      <c r="J546" s="2" t="n">
        <v>0.0709</v>
      </c>
    </row>
    <row r="547" customFormat="false" ht="15" hidden="false" customHeight="false" outlineLevel="0" collapsed="false">
      <c r="A547" s="2" t="s">
        <v>605</v>
      </c>
      <c r="B547" s="2" t="n">
        <v>300</v>
      </c>
      <c r="C547" s="2" t="s">
        <v>600</v>
      </c>
      <c r="D547" s="2" t="s">
        <v>28</v>
      </c>
      <c r="E547" s="2" t="n">
        <v>2.4</v>
      </c>
      <c r="F547" s="2" t="n">
        <v>0.6661</v>
      </c>
      <c r="G547" s="2" t="n">
        <v>0.2167</v>
      </c>
      <c r="H547" s="2" t="n">
        <v>0.5638</v>
      </c>
      <c r="I547" s="2" t="n">
        <v>0.4451</v>
      </c>
      <c r="J547" s="2" t="n">
        <v>0.0799</v>
      </c>
    </row>
    <row r="548" customFormat="false" ht="15" hidden="false" customHeight="false" outlineLevel="0" collapsed="false">
      <c r="A548" s="2" t="s">
        <v>606</v>
      </c>
      <c r="B548" s="2" t="n">
        <v>300</v>
      </c>
      <c r="C548" s="2" t="s">
        <v>600</v>
      </c>
      <c r="D548" s="2" t="s">
        <v>35</v>
      </c>
      <c r="E548" s="2" t="n">
        <v>0.55</v>
      </c>
      <c r="F548" s="2" t="n">
        <v>0.5676</v>
      </c>
      <c r="G548" s="2" t="n">
        <v>0.2075</v>
      </c>
      <c r="H548" s="2" t="n">
        <v>0.4386</v>
      </c>
      <c r="I548" s="2" t="n">
        <v>0.3184</v>
      </c>
      <c r="J548" s="2" t="n">
        <v>0.0639</v>
      </c>
    </row>
    <row r="549" customFormat="false" ht="15" hidden="false" customHeight="false" outlineLevel="0" collapsed="false">
      <c r="A549" s="2" t="s">
        <v>607</v>
      </c>
      <c r="B549" s="2" t="n">
        <v>300</v>
      </c>
      <c r="C549" s="2" t="s">
        <v>600</v>
      </c>
      <c r="D549" s="2" t="s">
        <v>35</v>
      </c>
      <c r="E549" s="2" t="n">
        <v>0.8</v>
      </c>
      <c r="F549" s="2" t="n">
        <v>0.6325</v>
      </c>
      <c r="G549" s="2" t="n">
        <v>0.2378</v>
      </c>
      <c r="H549" s="2" t="n">
        <v>0.5089</v>
      </c>
      <c r="I549" s="2" t="n">
        <v>0.3737</v>
      </c>
      <c r="J549" s="2" t="n">
        <v>0.078</v>
      </c>
    </row>
    <row r="550" customFormat="false" ht="15" hidden="false" customHeight="false" outlineLevel="0" collapsed="false">
      <c r="A550" s="2" t="s">
        <v>608</v>
      </c>
      <c r="B550" s="2" t="n">
        <v>300</v>
      </c>
      <c r="C550" s="2" t="s">
        <v>600</v>
      </c>
      <c r="D550" s="2" t="s">
        <v>35</v>
      </c>
      <c r="E550" s="2" t="n">
        <v>1</v>
      </c>
      <c r="F550" s="2" t="n">
        <v>0.6745</v>
      </c>
      <c r="G550" s="2" t="n">
        <v>0.2545</v>
      </c>
      <c r="H550" s="2" t="n">
        <v>0.5524</v>
      </c>
      <c r="I550" s="2" t="n">
        <v>0.4093</v>
      </c>
      <c r="J550" s="2" t="n">
        <v>0.0864</v>
      </c>
    </row>
    <row r="551" customFormat="false" ht="15" hidden="false" customHeight="false" outlineLevel="0" collapsed="false">
      <c r="A551" s="2" t="s">
        <v>609</v>
      </c>
      <c r="B551" s="2" t="n">
        <v>300</v>
      </c>
      <c r="C551" s="2" t="s">
        <v>600</v>
      </c>
      <c r="D551" s="2" t="s">
        <v>35</v>
      </c>
      <c r="E551" s="2" t="n">
        <v>1.3</v>
      </c>
      <c r="F551" s="2" t="n">
        <v>0.7257</v>
      </c>
      <c r="G551" s="2" t="n">
        <v>0.2743</v>
      </c>
      <c r="H551" s="2" t="n">
        <v>0.6044</v>
      </c>
      <c r="I551" s="2" t="n">
        <v>0.4527</v>
      </c>
      <c r="J551" s="2" t="n">
        <v>0.0971</v>
      </c>
    </row>
    <row r="552" customFormat="false" ht="15" hidden="false" customHeight="false" outlineLevel="0" collapsed="false">
      <c r="A552" s="2" t="s">
        <v>610</v>
      </c>
      <c r="B552" s="2" t="n">
        <v>300</v>
      </c>
      <c r="C552" s="2" t="s">
        <v>600</v>
      </c>
      <c r="D552" s="2" t="s">
        <v>35</v>
      </c>
      <c r="E552" s="2" t="n">
        <v>1.85</v>
      </c>
      <c r="F552" s="2" t="n">
        <v>0.7893</v>
      </c>
      <c r="G552" s="2" t="n">
        <v>0.2991</v>
      </c>
      <c r="H552" s="2" t="n">
        <v>0.6692</v>
      </c>
      <c r="I552" s="2" t="n">
        <v>0.5052</v>
      </c>
      <c r="J552" s="2" t="n">
        <v>0.1108</v>
      </c>
    </row>
    <row r="553" customFormat="false" ht="15" hidden="false" customHeight="false" outlineLevel="0" collapsed="false">
      <c r="A553" s="2" t="s">
        <v>611</v>
      </c>
      <c r="B553" s="2" t="n">
        <v>300</v>
      </c>
      <c r="C553" s="2" t="s">
        <v>600</v>
      </c>
      <c r="D553" s="2" t="s">
        <v>35</v>
      </c>
      <c r="E553" s="2" t="n">
        <v>2.4</v>
      </c>
      <c r="F553" s="2" t="n">
        <v>0.8295</v>
      </c>
      <c r="G553" s="2" t="n">
        <v>0.3167</v>
      </c>
      <c r="H553" s="2" t="n">
        <v>0.7113</v>
      </c>
      <c r="I553" s="2" t="n">
        <v>0.5398</v>
      </c>
      <c r="J553" s="2" t="n">
        <v>0.122</v>
      </c>
    </row>
    <row r="554" customFormat="false" ht="15" hidden="false" customHeight="false" outlineLevel="0" collapsed="false">
      <c r="A554" s="2" t="s">
        <v>612</v>
      </c>
      <c r="B554" s="2" t="n">
        <v>300</v>
      </c>
      <c r="C554" s="2" t="s">
        <v>600</v>
      </c>
      <c r="D554" s="2" t="s">
        <v>42</v>
      </c>
      <c r="E554" s="2" t="n">
        <v>0.55</v>
      </c>
      <c r="F554" s="2" t="n">
        <v>0.8956</v>
      </c>
      <c r="G554" s="2" t="n">
        <v>0.3126</v>
      </c>
      <c r="H554" s="2" t="n">
        <v>0.7948</v>
      </c>
      <c r="I554" s="2" t="n">
        <v>0.6415</v>
      </c>
      <c r="J554" s="2" t="n">
        <v>0.1406</v>
      </c>
    </row>
    <row r="555" customFormat="false" ht="15" hidden="false" customHeight="false" outlineLevel="0" collapsed="false">
      <c r="A555" s="2" t="s">
        <v>613</v>
      </c>
      <c r="B555" s="2" t="n">
        <v>300</v>
      </c>
      <c r="C555" s="2" t="s">
        <v>600</v>
      </c>
      <c r="D555" s="2" t="s">
        <v>42</v>
      </c>
      <c r="E555" s="2" t="n">
        <v>0.8</v>
      </c>
      <c r="F555" s="2" t="n">
        <v>0.8956</v>
      </c>
      <c r="G555" s="2" t="n">
        <v>0.3126</v>
      </c>
      <c r="H555" s="2" t="n">
        <v>0.7948</v>
      </c>
      <c r="I555" s="2" t="n">
        <v>0.6415</v>
      </c>
      <c r="J555" s="2" t="n">
        <v>0.1406</v>
      </c>
    </row>
    <row r="556" customFormat="false" ht="15" hidden="false" customHeight="false" outlineLevel="0" collapsed="false">
      <c r="A556" s="2" t="s">
        <v>614</v>
      </c>
      <c r="B556" s="2" t="n">
        <v>300</v>
      </c>
      <c r="C556" s="2" t="s">
        <v>600</v>
      </c>
      <c r="D556" s="2" t="s">
        <v>42</v>
      </c>
      <c r="E556" s="2" t="n">
        <v>1</v>
      </c>
      <c r="F556" s="2" t="n">
        <v>0.8956</v>
      </c>
      <c r="G556" s="2" t="n">
        <v>0.3126</v>
      </c>
      <c r="H556" s="2" t="n">
        <v>0.7948</v>
      </c>
      <c r="I556" s="2" t="n">
        <v>0.6415</v>
      </c>
      <c r="J556" s="2" t="n">
        <v>0.1406</v>
      </c>
    </row>
    <row r="557" customFormat="false" ht="15" hidden="false" customHeight="false" outlineLevel="0" collapsed="false">
      <c r="A557" s="2" t="s">
        <v>615</v>
      </c>
      <c r="B557" s="2" t="n">
        <v>300</v>
      </c>
      <c r="C557" s="2" t="s">
        <v>600</v>
      </c>
      <c r="D557" s="2" t="s">
        <v>42</v>
      </c>
      <c r="E557" s="2" t="n">
        <v>1.3</v>
      </c>
      <c r="F557" s="2" t="n">
        <v>0.8956</v>
      </c>
      <c r="G557" s="2" t="n">
        <v>0.3131</v>
      </c>
      <c r="H557" s="2" t="n">
        <v>0.7953</v>
      </c>
      <c r="I557" s="2" t="n">
        <v>0.6417</v>
      </c>
      <c r="J557" s="2" t="n">
        <v>0.1408</v>
      </c>
    </row>
    <row r="558" customFormat="false" ht="15" hidden="false" customHeight="false" outlineLevel="0" collapsed="false">
      <c r="A558" s="2" t="s">
        <v>616</v>
      </c>
      <c r="B558" s="2" t="n">
        <v>300</v>
      </c>
      <c r="C558" s="2" t="s">
        <v>600</v>
      </c>
      <c r="D558" s="2" t="s">
        <v>42</v>
      </c>
      <c r="E558" s="2" t="n">
        <v>1.85</v>
      </c>
      <c r="F558" s="2" t="n">
        <v>0.8956</v>
      </c>
      <c r="G558" s="2" t="n">
        <v>0.3148</v>
      </c>
      <c r="H558" s="2" t="n">
        <v>0.7975</v>
      </c>
      <c r="I558" s="2" t="n">
        <v>0.6422</v>
      </c>
      <c r="J558" s="2" t="n">
        <v>0.142</v>
      </c>
    </row>
    <row r="559" customFormat="false" ht="15" hidden="false" customHeight="false" outlineLevel="0" collapsed="false">
      <c r="A559" s="2" t="s">
        <v>617</v>
      </c>
      <c r="B559" s="2" t="n">
        <v>300</v>
      </c>
      <c r="C559" s="2" t="s">
        <v>600</v>
      </c>
      <c r="D559" s="2" t="s">
        <v>42</v>
      </c>
      <c r="E559" s="2" t="n">
        <v>2.4</v>
      </c>
      <c r="F559" s="2" t="n">
        <v>0.8956</v>
      </c>
      <c r="G559" s="2" t="n">
        <v>0.3167</v>
      </c>
      <c r="H559" s="2" t="n">
        <v>0.8002</v>
      </c>
      <c r="I559" s="2" t="n">
        <v>0.6435</v>
      </c>
      <c r="J559" s="2" t="n">
        <v>0.1438</v>
      </c>
    </row>
    <row r="560" customFormat="false" ht="15" hidden="false" customHeight="false" outlineLevel="0" collapsed="false">
      <c r="A560" s="2" t="s">
        <v>618</v>
      </c>
      <c r="B560" s="2" t="n">
        <v>280</v>
      </c>
      <c r="C560" s="2" t="s">
        <v>619</v>
      </c>
      <c r="D560" s="2" t="s">
        <v>28</v>
      </c>
      <c r="E560" s="2" t="n">
        <v>0.55</v>
      </c>
      <c r="F560" s="2" t="n">
        <v>0.403</v>
      </c>
      <c r="G560" s="2" t="n">
        <v>0.1144</v>
      </c>
      <c r="H560" s="2" t="n">
        <v>0.2974</v>
      </c>
      <c r="I560" s="2" t="n">
        <v>0.2306</v>
      </c>
      <c r="J560" s="2" t="n">
        <v>0.0335</v>
      </c>
    </row>
    <row r="561" customFormat="false" ht="15" hidden="false" customHeight="false" outlineLevel="0" collapsed="false">
      <c r="A561" s="2" t="s">
        <v>620</v>
      </c>
      <c r="B561" s="2" t="n">
        <v>280</v>
      </c>
      <c r="C561" s="2" t="s">
        <v>619</v>
      </c>
      <c r="D561" s="2" t="s">
        <v>28</v>
      </c>
      <c r="E561" s="2" t="n">
        <v>0.8</v>
      </c>
      <c r="F561" s="2" t="n">
        <v>0.4392</v>
      </c>
      <c r="G561" s="2" t="n">
        <v>0.1293</v>
      </c>
      <c r="H561" s="2" t="n">
        <v>0.3368</v>
      </c>
      <c r="I561" s="2" t="n">
        <v>0.2616</v>
      </c>
      <c r="J561" s="2" t="n">
        <v>0.0393</v>
      </c>
    </row>
    <row r="562" customFormat="false" ht="15" hidden="false" customHeight="false" outlineLevel="0" collapsed="false">
      <c r="A562" s="2" t="s">
        <v>621</v>
      </c>
      <c r="B562" s="2" t="n">
        <v>280</v>
      </c>
      <c r="C562" s="2" t="s">
        <v>619</v>
      </c>
      <c r="D562" s="2" t="s">
        <v>28</v>
      </c>
      <c r="E562" s="2" t="n">
        <v>1</v>
      </c>
      <c r="F562" s="2" t="n">
        <v>0.4675</v>
      </c>
      <c r="G562" s="2" t="n">
        <v>0.1391</v>
      </c>
      <c r="H562" s="2" t="n">
        <v>0.3649</v>
      </c>
      <c r="I562" s="2" t="n">
        <v>0.2852</v>
      </c>
      <c r="J562" s="2" t="n">
        <v>0.0442</v>
      </c>
    </row>
    <row r="563" customFormat="false" ht="15" hidden="false" customHeight="false" outlineLevel="0" collapsed="false">
      <c r="A563" s="2" t="s">
        <v>622</v>
      </c>
      <c r="B563" s="2" t="n">
        <v>280</v>
      </c>
      <c r="C563" s="2" t="s">
        <v>619</v>
      </c>
      <c r="D563" s="2" t="s">
        <v>28</v>
      </c>
      <c r="E563" s="2" t="n">
        <v>1.3</v>
      </c>
      <c r="F563" s="2" t="n">
        <v>0.5056</v>
      </c>
      <c r="G563" s="2" t="n">
        <v>0.1519</v>
      </c>
      <c r="H563" s="2" t="n">
        <v>0.4025</v>
      </c>
      <c r="I563" s="2" t="n">
        <v>0.3162</v>
      </c>
      <c r="J563" s="2" t="n">
        <v>0.0493</v>
      </c>
    </row>
    <row r="564" customFormat="false" ht="15" hidden="false" customHeight="false" outlineLevel="0" collapsed="false">
      <c r="A564" s="2" t="s">
        <v>623</v>
      </c>
      <c r="B564" s="2" t="n">
        <v>280</v>
      </c>
      <c r="C564" s="2" t="s">
        <v>619</v>
      </c>
      <c r="D564" s="2" t="s">
        <v>28</v>
      </c>
      <c r="E564" s="2" t="n">
        <v>1.85</v>
      </c>
      <c r="F564" s="2" t="n">
        <v>0.5678</v>
      </c>
      <c r="G564" s="2" t="n">
        <v>0.1745</v>
      </c>
      <c r="H564" s="2" t="n">
        <v>0.4652</v>
      </c>
      <c r="I564" s="2" t="n">
        <v>0.3667</v>
      </c>
      <c r="J564" s="2" t="n">
        <v>0.0588</v>
      </c>
    </row>
    <row r="565" customFormat="false" ht="15" hidden="false" customHeight="false" outlineLevel="0" collapsed="false">
      <c r="A565" s="2" t="s">
        <v>624</v>
      </c>
      <c r="B565" s="2" t="n">
        <v>280</v>
      </c>
      <c r="C565" s="2" t="s">
        <v>619</v>
      </c>
      <c r="D565" s="2" t="s">
        <v>28</v>
      </c>
      <c r="E565" s="2" t="n">
        <v>2.4</v>
      </c>
      <c r="F565" s="2" t="n">
        <v>0.6178</v>
      </c>
      <c r="G565" s="2" t="n">
        <v>0.1905</v>
      </c>
      <c r="H565" s="2" t="n">
        <v>0.5151</v>
      </c>
      <c r="I565" s="2" t="n">
        <v>0.4082</v>
      </c>
      <c r="J565" s="2" t="n">
        <v>0.0657</v>
      </c>
    </row>
    <row r="566" customFormat="false" ht="15" hidden="false" customHeight="false" outlineLevel="0" collapsed="false">
      <c r="A566" s="2" t="s">
        <v>625</v>
      </c>
      <c r="B566" s="2" t="n">
        <v>280</v>
      </c>
      <c r="C566" s="2" t="s">
        <v>619</v>
      </c>
      <c r="D566" s="2" t="s">
        <v>35</v>
      </c>
      <c r="E566" s="2" t="n">
        <v>0.55</v>
      </c>
      <c r="F566" s="2" t="n">
        <v>0.5374</v>
      </c>
      <c r="G566" s="2" t="n">
        <v>0.188</v>
      </c>
      <c r="H566" s="2" t="n">
        <v>0.4065</v>
      </c>
      <c r="I566" s="2" t="n">
        <v>0.2952</v>
      </c>
      <c r="J566" s="2" t="n">
        <v>0.0533</v>
      </c>
    </row>
    <row r="567" customFormat="false" ht="15" hidden="false" customHeight="false" outlineLevel="0" collapsed="false">
      <c r="A567" s="2" t="s">
        <v>626</v>
      </c>
      <c r="B567" s="2" t="n">
        <v>280</v>
      </c>
      <c r="C567" s="2" t="s">
        <v>619</v>
      </c>
      <c r="D567" s="2" t="s">
        <v>35</v>
      </c>
      <c r="E567" s="2" t="n">
        <v>0.8</v>
      </c>
      <c r="F567" s="2" t="n">
        <v>0.6009</v>
      </c>
      <c r="G567" s="2" t="n">
        <v>0.2153</v>
      </c>
      <c r="H567" s="2" t="n">
        <v>0.4744</v>
      </c>
      <c r="I567" s="2" t="n">
        <v>0.3485</v>
      </c>
      <c r="J567" s="2" t="n">
        <v>0.0652</v>
      </c>
    </row>
    <row r="568" customFormat="false" ht="15" hidden="false" customHeight="false" outlineLevel="0" collapsed="false">
      <c r="A568" s="2" t="s">
        <v>627</v>
      </c>
      <c r="B568" s="2" t="n">
        <v>280</v>
      </c>
      <c r="C568" s="2" t="s">
        <v>619</v>
      </c>
      <c r="D568" s="2" t="s">
        <v>35</v>
      </c>
      <c r="E568" s="2" t="n">
        <v>1</v>
      </c>
      <c r="F568" s="2" t="n">
        <v>0.6423</v>
      </c>
      <c r="G568" s="2" t="n">
        <v>0.2307</v>
      </c>
      <c r="H568" s="2" t="n">
        <v>0.5163</v>
      </c>
      <c r="I568" s="2" t="n">
        <v>0.3832</v>
      </c>
      <c r="J568" s="2" t="n">
        <v>0.0726</v>
      </c>
    </row>
    <row r="569" customFormat="false" ht="15" hidden="false" customHeight="false" outlineLevel="0" collapsed="false">
      <c r="A569" s="2" t="s">
        <v>628</v>
      </c>
      <c r="B569" s="2" t="n">
        <v>280</v>
      </c>
      <c r="C569" s="2" t="s">
        <v>619</v>
      </c>
      <c r="D569" s="2" t="s">
        <v>35</v>
      </c>
      <c r="E569" s="2" t="n">
        <v>1.3</v>
      </c>
      <c r="F569" s="2" t="n">
        <v>0.6934</v>
      </c>
      <c r="G569" s="2" t="n">
        <v>0.2494</v>
      </c>
      <c r="H569" s="2" t="n">
        <v>0.5672</v>
      </c>
      <c r="I569" s="2" t="n">
        <v>0.426</v>
      </c>
      <c r="J569" s="2" t="n">
        <v>0.0825</v>
      </c>
    </row>
    <row r="570" customFormat="false" ht="15" hidden="false" customHeight="false" outlineLevel="0" collapsed="false">
      <c r="A570" s="2" t="s">
        <v>629</v>
      </c>
      <c r="B570" s="2" t="n">
        <v>280</v>
      </c>
      <c r="C570" s="2" t="s">
        <v>619</v>
      </c>
      <c r="D570" s="2" t="s">
        <v>35</v>
      </c>
      <c r="E570" s="2" t="n">
        <v>1.85</v>
      </c>
      <c r="F570" s="2" t="n">
        <v>0.7583</v>
      </c>
      <c r="G570" s="2" t="n">
        <v>0.2737</v>
      </c>
      <c r="H570" s="2" t="n">
        <v>0.6321</v>
      </c>
      <c r="I570" s="2" t="n">
        <v>0.4792</v>
      </c>
      <c r="J570" s="2" t="n">
        <v>0.0951</v>
      </c>
    </row>
    <row r="571" customFormat="false" ht="15" hidden="false" customHeight="false" outlineLevel="0" collapsed="false">
      <c r="A571" s="2" t="s">
        <v>630</v>
      </c>
      <c r="B571" s="2" t="n">
        <v>280</v>
      </c>
      <c r="C571" s="2" t="s">
        <v>619</v>
      </c>
      <c r="D571" s="2" t="s">
        <v>35</v>
      </c>
      <c r="E571" s="2" t="n">
        <v>2.4</v>
      </c>
      <c r="F571" s="2" t="n">
        <v>0.8011</v>
      </c>
      <c r="G571" s="2" t="n">
        <v>0.2912</v>
      </c>
      <c r="H571" s="2" t="n">
        <v>0.676</v>
      </c>
      <c r="I571" s="2" t="n">
        <v>0.5144</v>
      </c>
      <c r="J571" s="2" t="n">
        <v>0.1041</v>
      </c>
    </row>
    <row r="572" customFormat="false" ht="15" hidden="false" customHeight="false" outlineLevel="0" collapsed="false">
      <c r="A572" s="2" t="s">
        <v>631</v>
      </c>
      <c r="B572" s="2" t="n">
        <v>280</v>
      </c>
      <c r="C572" s="2" t="s">
        <v>619</v>
      </c>
      <c r="D572" s="2" t="s">
        <v>42</v>
      </c>
      <c r="E572" s="2" t="n">
        <v>0.55</v>
      </c>
      <c r="F572" s="2" t="n">
        <v>0.8794</v>
      </c>
      <c r="G572" s="2" t="n">
        <v>0.2886</v>
      </c>
      <c r="H572" s="2" t="n">
        <v>0.7715</v>
      </c>
      <c r="I572" s="2" t="n">
        <v>0.6259</v>
      </c>
      <c r="J572" s="2" t="n">
        <v>0.1223</v>
      </c>
    </row>
    <row r="573" customFormat="false" ht="15" hidden="false" customHeight="false" outlineLevel="0" collapsed="false">
      <c r="A573" s="2" t="s">
        <v>632</v>
      </c>
      <c r="B573" s="2" t="n">
        <v>280</v>
      </c>
      <c r="C573" s="2" t="s">
        <v>619</v>
      </c>
      <c r="D573" s="2" t="s">
        <v>42</v>
      </c>
      <c r="E573" s="2" t="n">
        <v>0.8</v>
      </c>
      <c r="F573" s="2" t="n">
        <v>0.8794</v>
      </c>
      <c r="G573" s="2" t="n">
        <v>0.2886</v>
      </c>
      <c r="H573" s="2" t="n">
        <v>0.7715</v>
      </c>
      <c r="I573" s="2" t="n">
        <v>0.6259</v>
      </c>
      <c r="J573" s="2" t="n">
        <v>0.1223</v>
      </c>
    </row>
    <row r="574" customFormat="false" ht="15" hidden="false" customHeight="false" outlineLevel="0" collapsed="false">
      <c r="A574" s="2" t="s">
        <v>633</v>
      </c>
      <c r="B574" s="2" t="n">
        <v>280</v>
      </c>
      <c r="C574" s="2" t="s">
        <v>619</v>
      </c>
      <c r="D574" s="2" t="s">
        <v>42</v>
      </c>
      <c r="E574" s="2" t="n">
        <v>1</v>
      </c>
      <c r="F574" s="2" t="n">
        <v>0.8794</v>
      </c>
      <c r="G574" s="2" t="n">
        <v>0.2886</v>
      </c>
      <c r="H574" s="2" t="n">
        <v>0.7715</v>
      </c>
      <c r="I574" s="2" t="n">
        <v>0.6259</v>
      </c>
      <c r="J574" s="2" t="n">
        <v>0.1223</v>
      </c>
    </row>
    <row r="575" customFormat="false" ht="15" hidden="false" customHeight="false" outlineLevel="0" collapsed="false">
      <c r="A575" s="2" t="s">
        <v>634</v>
      </c>
      <c r="B575" s="2" t="n">
        <v>280</v>
      </c>
      <c r="C575" s="2" t="s">
        <v>619</v>
      </c>
      <c r="D575" s="2" t="s">
        <v>42</v>
      </c>
      <c r="E575" s="2" t="n">
        <v>1.3</v>
      </c>
      <c r="F575" s="2" t="n">
        <v>0.8794</v>
      </c>
      <c r="G575" s="2" t="n">
        <v>0.2892</v>
      </c>
      <c r="H575" s="2" t="n">
        <v>0.7721</v>
      </c>
      <c r="I575" s="2" t="n">
        <v>0.626</v>
      </c>
      <c r="J575" s="2" t="n">
        <v>0.1225</v>
      </c>
    </row>
    <row r="576" customFormat="false" ht="15" hidden="false" customHeight="false" outlineLevel="0" collapsed="false">
      <c r="A576" s="2" t="s">
        <v>635</v>
      </c>
      <c r="B576" s="2" t="n">
        <v>280</v>
      </c>
      <c r="C576" s="2" t="s">
        <v>619</v>
      </c>
      <c r="D576" s="2" t="s">
        <v>42</v>
      </c>
      <c r="E576" s="2" t="n">
        <v>1.85</v>
      </c>
      <c r="F576" s="2" t="n">
        <v>0.8794</v>
      </c>
      <c r="G576" s="2" t="n">
        <v>0.2914</v>
      </c>
      <c r="H576" s="2" t="n">
        <v>0.7746</v>
      </c>
      <c r="I576" s="2" t="n">
        <v>0.6269</v>
      </c>
      <c r="J576" s="2" t="n">
        <v>0.1239</v>
      </c>
    </row>
    <row r="577" customFormat="false" ht="15" hidden="false" customHeight="false" outlineLevel="0" collapsed="false">
      <c r="A577" s="2" t="s">
        <v>636</v>
      </c>
      <c r="B577" s="2" t="n">
        <v>280</v>
      </c>
      <c r="C577" s="2" t="s">
        <v>619</v>
      </c>
      <c r="D577" s="2" t="s">
        <v>42</v>
      </c>
      <c r="E577" s="2" t="n">
        <v>2.4</v>
      </c>
      <c r="F577" s="2" t="n">
        <v>0.8794</v>
      </c>
      <c r="G577" s="2" t="n">
        <v>0.2935</v>
      </c>
      <c r="H577" s="2" t="n">
        <v>0.7773</v>
      </c>
      <c r="I577" s="2" t="n">
        <v>0.6277</v>
      </c>
      <c r="J577" s="2" t="n">
        <v>0.1253</v>
      </c>
    </row>
    <row r="578" customFormat="false" ht="15" hidden="false" customHeight="false" outlineLevel="0" collapsed="false">
      <c r="A578" s="2" t="s">
        <v>637</v>
      </c>
      <c r="B578" s="2" t="n">
        <v>260</v>
      </c>
      <c r="C578" s="2" t="s">
        <v>638</v>
      </c>
      <c r="D578" s="2" t="s">
        <v>28</v>
      </c>
      <c r="E578" s="2" t="n">
        <v>0.55</v>
      </c>
      <c r="F578" s="2" t="n">
        <v>0.3692</v>
      </c>
      <c r="G578" s="2" t="n">
        <v>0.0982</v>
      </c>
      <c r="H578" s="2" t="n">
        <v>0.2675</v>
      </c>
      <c r="I578" s="2" t="n">
        <v>0.2087</v>
      </c>
      <c r="J578" s="2" t="n">
        <v>0.0265</v>
      </c>
    </row>
    <row r="579" customFormat="false" ht="15" hidden="false" customHeight="false" outlineLevel="0" collapsed="false">
      <c r="A579" s="2" t="s">
        <v>639</v>
      </c>
      <c r="B579" s="2" t="n">
        <v>260</v>
      </c>
      <c r="C579" s="2" t="s">
        <v>638</v>
      </c>
      <c r="D579" s="2" t="s">
        <v>28</v>
      </c>
      <c r="E579" s="2" t="n">
        <v>0.8</v>
      </c>
      <c r="F579" s="2" t="n">
        <v>0.4008</v>
      </c>
      <c r="G579" s="2" t="n">
        <v>0.1109</v>
      </c>
      <c r="H579" s="2" t="n">
        <v>0.3007</v>
      </c>
      <c r="I579" s="2" t="n">
        <v>0.2344</v>
      </c>
      <c r="J579" s="2" t="n">
        <v>0.0305</v>
      </c>
    </row>
    <row r="580" customFormat="false" ht="15" hidden="false" customHeight="false" outlineLevel="0" collapsed="false">
      <c r="A580" s="2" t="s">
        <v>640</v>
      </c>
      <c r="B580" s="2" t="n">
        <v>260</v>
      </c>
      <c r="C580" s="2" t="s">
        <v>638</v>
      </c>
      <c r="D580" s="2" t="s">
        <v>28</v>
      </c>
      <c r="E580" s="2" t="n">
        <v>1</v>
      </c>
      <c r="F580" s="2" t="n">
        <v>0.4258</v>
      </c>
      <c r="G580" s="2" t="n">
        <v>0.1203</v>
      </c>
      <c r="H580" s="2" t="n">
        <v>0.3265</v>
      </c>
      <c r="I580" s="2" t="n">
        <v>0.2556</v>
      </c>
      <c r="J580" s="2" t="n">
        <v>0.0349</v>
      </c>
    </row>
    <row r="581" customFormat="false" ht="15" hidden="false" customHeight="false" outlineLevel="0" collapsed="false">
      <c r="A581" s="2" t="s">
        <v>641</v>
      </c>
      <c r="B581" s="2" t="n">
        <v>260</v>
      </c>
      <c r="C581" s="2" t="s">
        <v>638</v>
      </c>
      <c r="D581" s="2" t="s">
        <v>28</v>
      </c>
      <c r="E581" s="2" t="n">
        <v>1.3</v>
      </c>
      <c r="F581" s="2" t="n">
        <v>0.4602</v>
      </c>
      <c r="G581" s="2" t="n">
        <v>0.1308</v>
      </c>
      <c r="H581" s="2" t="n">
        <v>0.3608</v>
      </c>
      <c r="I581" s="2" t="n">
        <v>0.284</v>
      </c>
      <c r="J581" s="2" t="n">
        <v>0.0392</v>
      </c>
    </row>
    <row r="582" customFormat="false" ht="15" hidden="false" customHeight="false" outlineLevel="0" collapsed="false">
      <c r="A582" s="2" t="s">
        <v>642</v>
      </c>
      <c r="B582" s="2" t="n">
        <v>260</v>
      </c>
      <c r="C582" s="2" t="s">
        <v>638</v>
      </c>
      <c r="D582" s="2" t="s">
        <v>28</v>
      </c>
      <c r="E582" s="2" t="n">
        <v>1.85</v>
      </c>
      <c r="F582" s="2" t="n">
        <v>0.5155</v>
      </c>
      <c r="G582" s="2" t="n">
        <v>0.1489</v>
      </c>
      <c r="H582" s="2" t="n">
        <v>0.4157</v>
      </c>
      <c r="I582" s="2" t="n">
        <v>0.3287</v>
      </c>
      <c r="J582" s="2" t="n">
        <v>0.0462</v>
      </c>
    </row>
    <row r="583" customFormat="false" ht="15" hidden="false" customHeight="false" outlineLevel="0" collapsed="false">
      <c r="A583" s="2" t="s">
        <v>643</v>
      </c>
      <c r="B583" s="2" t="n">
        <v>260</v>
      </c>
      <c r="C583" s="2" t="s">
        <v>638</v>
      </c>
      <c r="D583" s="2" t="s">
        <v>28</v>
      </c>
      <c r="E583" s="2" t="n">
        <v>2.4</v>
      </c>
      <c r="F583" s="2" t="n">
        <v>0.5625</v>
      </c>
      <c r="G583" s="2" t="n">
        <v>0.1642</v>
      </c>
      <c r="H583" s="2" t="n">
        <v>0.4613</v>
      </c>
      <c r="I583" s="2" t="n">
        <v>0.3666</v>
      </c>
      <c r="J583" s="2" t="n">
        <v>0.0524</v>
      </c>
    </row>
    <row r="584" customFormat="false" ht="15" hidden="false" customHeight="false" outlineLevel="0" collapsed="false">
      <c r="A584" s="2" t="s">
        <v>644</v>
      </c>
      <c r="B584" s="2" t="n">
        <v>260</v>
      </c>
      <c r="C584" s="2" t="s">
        <v>638</v>
      </c>
      <c r="D584" s="2" t="s">
        <v>35</v>
      </c>
      <c r="E584" s="2" t="n">
        <v>0.55</v>
      </c>
      <c r="F584" s="2" t="n">
        <v>0.5015</v>
      </c>
      <c r="G584" s="2" t="n">
        <v>0.1666</v>
      </c>
      <c r="H584" s="2" t="n">
        <v>0.3712</v>
      </c>
      <c r="I584" s="2" t="n">
        <v>0.2702</v>
      </c>
      <c r="J584" s="2" t="n">
        <v>0.0432</v>
      </c>
    </row>
    <row r="585" customFormat="false" ht="15" hidden="false" customHeight="false" outlineLevel="0" collapsed="false">
      <c r="A585" s="2" t="s">
        <v>645</v>
      </c>
      <c r="B585" s="2" t="n">
        <v>260</v>
      </c>
      <c r="C585" s="2" t="s">
        <v>638</v>
      </c>
      <c r="D585" s="2" t="s">
        <v>35</v>
      </c>
      <c r="E585" s="2" t="n">
        <v>0.8</v>
      </c>
      <c r="F585" s="2" t="n">
        <v>0.5612</v>
      </c>
      <c r="G585" s="2" t="n">
        <v>0.1917</v>
      </c>
      <c r="H585" s="2" t="n">
        <v>0.4336</v>
      </c>
      <c r="I585" s="2" t="n">
        <v>0.3189</v>
      </c>
      <c r="J585" s="2" t="n">
        <v>0.0528</v>
      </c>
    </row>
    <row r="586" customFormat="false" ht="15" hidden="false" customHeight="false" outlineLevel="0" collapsed="false">
      <c r="A586" s="2" t="s">
        <v>646</v>
      </c>
      <c r="B586" s="2" t="n">
        <v>260</v>
      </c>
      <c r="C586" s="2" t="s">
        <v>638</v>
      </c>
      <c r="D586" s="2" t="s">
        <v>35</v>
      </c>
      <c r="E586" s="2" t="n">
        <v>1</v>
      </c>
      <c r="F586" s="2" t="n">
        <v>0.601</v>
      </c>
      <c r="G586" s="2" t="n">
        <v>0.2058</v>
      </c>
      <c r="H586" s="2" t="n">
        <v>0.4733</v>
      </c>
      <c r="I586" s="2" t="n">
        <v>0.3521</v>
      </c>
      <c r="J586" s="2" t="n">
        <v>0.0598</v>
      </c>
    </row>
    <row r="587" customFormat="false" ht="15" hidden="false" customHeight="false" outlineLevel="0" collapsed="false">
      <c r="A587" s="2" t="s">
        <v>647</v>
      </c>
      <c r="B587" s="2" t="n">
        <v>260</v>
      </c>
      <c r="C587" s="2" t="s">
        <v>638</v>
      </c>
      <c r="D587" s="2" t="s">
        <v>35</v>
      </c>
      <c r="E587" s="2" t="n">
        <v>1.3</v>
      </c>
      <c r="F587" s="2" t="n">
        <v>0.6509</v>
      </c>
      <c r="G587" s="2" t="n">
        <v>0.2226</v>
      </c>
      <c r="H587" s="2" t="n">
        <v>0.5227</v>
      </c>
      <c r="I587" s="2" t="n">
        <v>0.3932</v>
      </c>
      <c r="J587" s="2" t="n">
        <v>0.0676</v>
      </c>
    </row>
    <row r="588" customFormat="false" ht="15" hidden="false" customHeight="false" outlineLevel="0" collapsed="false">
      <c r="A588" s="2" t="s">
        <v>648</v>
      </c>
      <c r="B588" s="2" t="n">
        <v>260</v>
      </c>
      <c r="C588" s="2" t="s">
        <v>638</v>
      </c>
      <c r="D588" s="2" t="s">
        <v>35</v>
      </c>
      <c r="E588" s="2" t="n">
        <v>1.85</v>
      </c>
      <c r="F588" s="2" t="n">
        <v>0.7171</v>
      </c>
      <c r="G588" s="2" t="n">
        <v>0.2455</v>
      </c>
      <c r="H588" s="2" t="n">
        <v>0.5881</v>
      </c>
      <c r="I588" s="2" t="n">
        <v>0.4459</v>
      </c>
      <c r="J588" s="2" t="n">
        <v>0.0778</v>
      </c>
    </row>
    <row r="589" customFormat="false" ht="15" hidden="false" customHeight="false" outlineLevel="0" collapsed="false">
      <c r="A589" s="2" t="s">
        <v>649</v>
      </c>
      <c r="B589" s="2" t="n">
        <v>260</v>
      </c>
      <c r="C589" s="2" t="s">
        <v>638</v>
      </c>
      <c r="D589" s="2" t="s">
        <v>35</v>
      </c>
      <c r="E589" s="2" t="n">
        <v>2.4</v>
      </c>
      <c r="F589" s="2" t="n">
        <v>0.7608</v>
      </c>
      <c r="G589" s="2" t="n">
        <v>0.2627</v>
      </c>
      <c r="H589" s="2" t="n">
        <v>0.632</v>
      </c>
      <c r="I589" s="2" t="n">
        <v>0.4814</v>
      </c>
      <c r="J589" s="2" t="n">
        <v>0.0861</v>
      </c>
    </row>
    <row r="590" customFormat="false" ht="15" hidden="false" customHeight="false" outlineLevel="0" collapsed="false">
      <c r="A590" s="2" t="s">
        <v>650</v>
      </c>
      <c r="B590" s="2" t="n">
        <v>260</v>
      </c>
      <c r="C590" s="2" t="s">
        <v>638</v>
      </c>
      <c r="D590" s="2" t="s">
        <v>42</v>
      </c>
      <c r="E590" s="2" t="n">
        <v>0.55</v>
      </c>
      <c r="F590" s="2" t="n">
        <v>0.8569</v>
      </c>
      <c r="G590" s="2" t="n">
        <v>0.2627</v>
      </c>
      <c r="H590" s="2" t="n">
        <v>0.7435</v>
      </c>
      <c r="I590" s="2" t="n">
        <v>0.6069</v>
      </c>
      <c r="J590" s="2" t="n">
        <v>0.105</v>
      </c>
    </row>
    <row r="591" customFormat="false" ht="15" hidden="false" customHeight="false" outlineLevel="0" collapsed="false">
      <c r="A591" s="2" t="s">
        <v>651</v>
      </c>
      <c r="B591" s="2" t="n">
        <v>260</v>
      </c>
      <c r="C591" s="2" t="s">
        <v>638</v>
      </c>
      <c r="D591" s="2" t="s">
        <v>42</v>
      </c>
      <c r="E591" s="2" t="n">
        <v>0.8</v>
      </c>
      <c r="F591" s="2" t="n">
        <v>0.8569</v>
      </c>
      <c r="G591" s="2" t="n">
        <v>0.2627</v>
      </c>
      <c r="H591" s="2" t="n">
        <v>0.7435</v>
      </c>
      <c r="I591" s="2" t="n">
        <v>0.6069</v>
      </c>
      <c r="J591" s="2" t="n">
        <v>0.105</v>
      </c>
    </row>
    <row r="592" customFormat="false" ht="15" hidden="false" customHeight="false" outlineLevel="0" collapsed="false">
      <c r="A592" s="2" t="s">
        <v>652</v>
      </c>
      <c r="B592" s="2" t="n">
        <v>260</v>
      </c>
      <c r="C592" s="2" t="s">
        <v>638</v>
      </c>
      <c r="D592" s="2" t="s">
        <v>42</v>
      </c>
      <c r="E592" s="2" t="n">
        <v>1</v>
      </c>
      <c r="F592" s="2" t="n">
        <v>0.8569</v>
      </c>
      <c r="G592" s="2" t="n">
        <v>0.2627</v>
      </c>
      <c r="H592" s="2" t="n">
        <v>0.7435</v>
      </c>
      <c r="I592" s="2" t="n">
        <v>0.6069</v>
      </c>
      <c r="J592" s="2" t="n">
        <v>0.105</v>
      </c>
    </row>
    <row r="593" customFormat="false" ht="15" hidden="false" customHeight="false" outlineLevel="0" collapsed="false">
      <c r="A593" s="2" t="s">
        <v>653</v>
      </c>
      <c r="B593" s="2" t="n">
        <v>260</v>
      </c>
      <c r="C593" s="2" t="s">
        <v>638</v>
      </c>
      <c r="D593" s="2" t="s">
        <v>42</v>
      </c>
      <c r="E593" s="2" t="n">
        <v>1.3</v>
      </c>
      <c r="F593" s="2" t="n">
        <v>0.8569</v>
      </c>
      <c r="G593" s="2" t="n">
        <v>0.2634</v>
      </c>
      <c r="H593" s="2" t="n">
        <v>0.7442</v>
      </c>
      <c r="I593" s="2" t="n">
        <v>0.607</v>
      </c>
      <c r="J593" s="2" t="n">
        <v>0.1052</v>
      </c>
    </row>
    <row r="594" customFormat="false" ht="15" hidden="false" customHeight="false" outlineLevel="0" collapsed="false">
      <c r="A594" s="2" t="s">
        <v>654</v>
      </c>
      <c r="B594" s="2" t="n">
        <v>260</v>
      </c>
      <c r="C594" s="2" t="s">
        <v>638</v>
      </c>
      <c r="D594" s="2" t="s">
        <v>42</v>
      </c>
      <c r="E594" s="2" t="n">
        <v>1.85</v>
      </c>
      <c r="F594" s="2" t="n">
        <v>0.8569</v>
      </c>
      <c r="G594" s="2" t="n">
        <v>0.2662</v>
      </c>
      <c r="H594" s="2" t="n">
        <v>0.7474</v>
      </c>
      <c r="I594" s="2" t="n">
        <v>0.6077</v>
      </c>
      <c r="J594" s="2" t="n">
        <v>0.1062</v>
      </c>
    </row>
    <row r="595" customFormat="false" ht="15" hidden="false" customHeight="false" outlineLevel="0" collapsed="false">
      <c r="A595" s="2" t="s">
        <v>655</v>
      </c>
      <c r="B595" s="2" t="n">
        <v>260</v>
      </c>
      <c r="C595" s="2" t="s">
        <v>638</v>
      </c>
      <c r="D595" s="2" t="s">
        <v>42</v>
      </c>
      <c r="E595" s="2" t="n">
        <v>2.4</v>
      </c>
      <c r="F595" s="2" t="n">
        <v>0.8569</v>
      </c>
      <c r="G595" s="2" t="n">
        <v>0.2687</v>
      </c>
      <c r="H595" s="2" t="n">
        <v>0.7501</v>
      </c>
      <c r="I595" s="2" t="n">
        <v>0.6084</v>
      </c>
      <c r="J595" s="2" t="n">
        <v>0.1075</v>
      </c>
    </row>
    <row r="596" customFormat="false" ht="15" hidden="false" customHeight="false" outlineLevel="0" collapsed="false">
      <c r="A596" s="2" t="s">
        <v>656</v>
      </c>
      <c r="B596" s="2" t="n">
        <v>240</v>
      </c>
      <c r="C596" s="2" t="s">
        <v>657</v>
      </c>
      <c r="D596" s="2" t="s">
        <v>28</v>
      </c>
      <c r="E596" s="2" t="n">
        <v>0.55</v>
      </c>
      <c r="F596" s="2" t="n">
        <v>0.3343</v>
      </c>
      <c r="G596" s="2" t="n">
        <v>0.083</v>
      </c>
      <c r="H596" s="2" t="n">
        <v>0.2375</v>
      </c>
      <c r="I596" s="2" t="n">
        <v>0.1872</v>
      </c>
      <c r="J596" s="2" t="n">
        <v>0.0214</v>
      </c>
    </row>
    <row r="597" customFormat="false" ht="15" hidden="false" customHeight="false" outlineLevel="0" collapsed="false">
      <c r="A597" s="2" t="s">
        <v>658</v>
      </c>
      <c r="B597" s="2" t="n">
        <v>240</v>
      </c>
      <c r="C597" s="2" t="s">
        <v>657</v>
      </c>
      <c r="D597" s="2" t="s">
        <v>28</v>
      </c>
      <c r="E597" s="2" t="n">
        <v>0.8</v>
      </c>
      <c r="F597" s="2" t="n">
        <v>0.3607</v>
      </c>
      <c r="G597" s="2" t="n">
        <v>0.0936</v>
      </c>
      <c r="H597" s="2" t="n">
        <v>0.2655</v>
      </c>
      <c r="I597" s="2" t="n">
        <v>0.209</v>
      </c>
      <c r="J597" s="2" t="n">
        <v>0.0246</v>
      </c>
    </row>
    <row r="598" customFormat="false" ht="15" hidden="false" customHeight="false" outlineLevel="0" collapsed="false">
      <c r="A598" s="2" t="s">
        <v>659</v>
      </c>
      <c r="B598" s="2" t="n">
        <v>240</v>
      </c>
      <c r="C598" s="2" t="s">
        <v>657</v>
      </c>
      <c r="D598" s="2" t="s">
        <v>28</v>
      </c>
      <c r="E598" s="2" t="n">
        <v>1</v>
      </c>
      <c r="F598" s="2" t="n">
        <v>0.3823</v>
      </c>
      <c r="G598" s="2" t="n">
        <v>0.1011</v>
      </c>
      <c r="H598" s="2" t="n">
        <v>0.2876</v>
      </c>
      <c r="I598" s="2" t="n">
        <v>0.2268</v>
      </c>
      <c r="J598" s="2" t="n">
        <v>0.0272</v>
      </c>
    </row>
    <row r="599" customFormat="false" ht="15" hidden="false" customHeight="false" outlineLevel="0" collapsed="false">
      <c r="A599" s="2" t="s">
        <v>660</v>
      </c>
      <c r="B599" s="2" t="n">
        <v>240</v>
      </c>
      <c r="C599" s="2" t="s">
        <v>657</v>
      </c>
      <c r="D599" s="2" t="s">
        <v>28</v>
      </c>
      <c r="E599" s="2" t="n">
        <v>1.3</v>
      </c>
      <c r="F599" s="2" t="n">
        <v>0.411</v>
      </c>
      <c r="G599" s="2" t="n">
        <v>0.1102</v>
      </c>
      <c r="H599" s="2" t="n">
        <v>0.3165</v>
      </c>
      <c r="I599" s="2" t="n">
        <v>0.2504</v>
      </c>
      <c r="J599" s="2" t="n">
        <v>0.0309</v>
      </c>
    </row>
    <row r="600" customFormat="false" ht="15" hidden="false" customHeight="false" outlineLevel="0" collapsed="false">
      <c r="A600" s="2" t="s">
        <v>661</v>
      </c>
      <c r="B600" s="2" t="n">
        <v>240</v>
      </c>
      <c r="C600" s="2" t="s">
        <v>657</v>
      </c>
      <c r="D600" s="2" t="s">
        <v>28</v>
      </c>
      <c r="E600" s="2" t="n">
        <v>1.85</v>
      </c>
      <c r="F600" s="2" t="n">
        <v>0.4605</v>
      </c>
      <c r="G600" s="2" t="n">
        <v>0.1244</v>
      </c>
      <c r="H600" s="2" t="n">
        <v>0.3648</v>
      </c>
      <c r="I600" s="2" t="n">
        <v>0.2902</v>
      </c>
      <c r="J600" s="2" t="n">
        <v>0.036</v>
      </c>
    </row>
    <row r="601" customFormat="false" ht="15" hidden="false" customHeight="false" outlineLevel="0" collapsed="false">
      <c r="A601" s="2" t="s">
        <v>662</v>
      </c>
      <c r="B601" s="2" t="n">
        <v>240</v>
      </c>
      <c r="C601" s="2" t="s">
        <v>657</v>
      </c>
      <c r="D601" s="2" t="s">
        <v>28</v>
      </c>
      <c r="E601" s="2" t="n">
        <v>2.4</v>
      </c>
      <c r="F601" s="2" t="n">
        <v>0.5024</v>
      </c>
      <c r="G601" s="2" t="n">
        <v>0.1369</v>
      </c>
      <c r="H601" s="2" t="n">
        <v>0.4049</v>
      </c>
      <c r="I601" s="2" t="n">
        <v>0.3237</v>
      </c>
      <c r="J601" s="2" t="n">
        <v>0.0409</v>
      </c>
    </row>
    <row r="602" customFormat="false" ht="15" hidden="false" customHeight="false" outlineLevel="0" collapsed="false">
      <c r="A602" s="2" t="s">
        <v>663</v>
      </c>
      <c r="B602" s="2" t="n">
        <v>240</v>
      </c>
      <c r="C602" s="2" t="s">
        <v>657</v>
      </c>
      <c r="D602" s="2" t="s">
        <v>35</v>
      </c>
      <c r="E602" s="2" t="n">
        <v>0.55</v>
      </c>
      <c r="F602" s="2" t="n">
        <v>0.4593</v>
      </c>
      <c r="G602" s="2" t="n">
        <v>0.1442</v>
      </c>
      <c r="H602" s="2" t="n">
        <v>0.3299</v>
      </c>
      <c r="I602" s="2" t="n">
        <v>0.2406</v>
      </c>
      <c r="J602" s="2" t="n">
        <v>0.0339</v>
      </c>
    </row>
    <row r="603" customFormat="false" ht="15" hidden="false" customHeight="false" outlineLevel="0" collapsed="false">
      <c r="A603" s="2" t="s">
        <v>664</v>
      </c>
      <c r="B603" s="2" t="n">
        <v>240</v>
      </c>
      <c r="C603" s="2" t="s">
        <v>657</v>
      </c>
      <c r="D603" s="2" t="s">
        <v>35</v>
      </c>
      <c r="E603" s="2" t="n">
        <v>0.8</v>
      </c>
      <c r="F603" s="2" t="n">
        <v>0.5149</v>
      </c>
      <c r="G603" s="2" t="n">
        <v>0.1651</v>
      </c>
      <c r="H603" s="2" t="n">
        <v>0.3871</v>
      </c>
      <c r="I603" s="2" t="n">
        <v>0.286</v>
      </c>
      <c r="J603" s="2" t="n">
        <v>0.0419</v>
      </c>
    </row>
    <row r="604" customFormat="false" ht="15" hidden="false" customHeight="false" outlineLevel="0" collapsed="false">
      <c r="A604" s="2" t="s">
        <v>665</v>
      </c>
      <c r="B604" s="2" t="n">
        <v>240</v>
      </c>
      <c r="C604" s="2" t="s">
        <v>657</v>
      </c>
      <c r="D604" s="2" t="s">
        <v>35</v>
      </c>
      <c r="E604" s="2" t="n">
        <v>1</v>
      </c>
      <c r="F604" s="2" t="n">
        <v>0.5523</v>
      </c>
      <c r="G604" s="2" t="n">
        <v>0.1783</v>
      </c>
      <c r="H604" s="2" t="n">
        <v>0.4243</v>
      </c>
      <c r="I604" s="2" t="n">
        <v>0.316</v>
      </c>
      <c r="J604" s="2" t="n">
        <v>0.0471</v>
      </c>
    </row>
    <row r="605" customFormat="false" ht="15" hidden="false" customHeight="false" outlineLevel="0" collapsed="false">
      <c r="A605" s="2" t="s">
        <v>666</v>
      </c>
      <c r="B605" s="2" t="n">
        <v>240</v>
      </c>
      <c r="C605" s="2" t="s">
        <v>657</v>
      </c>
      <c r="D605" s="2" t="s">
        <v>35</v>
      </c>
      <c r="E605" s="2" t="n">
        <v>1.3</v>
      </c>
      <c r="F605" s="2" t="n">
        <v>0.5985</v>
      </c>
      <c r="G605" s="2" t="n">
        <v>0.1941</v>
      </c>
      <c r="H605" s="2" t="n">
        <v>0.4701</v>
      </c>
      <c r="I605" s="2" t="n">
        <v>0.3534</v>
      </c>
      <c r="J605" s="2" t="n">
        <v>0.0538</v>
      </c>
    </row>
    <row r="606" customFormat="false" ht="15" hidden="false" customHeight="false" outlineLevel="0" collapsed="false">
      <c r="A606" s="2" t="s">
        <v>667</v>
      </c>
      <c r="B606" s="2" t="n">
        <v>240</v>
      </c>
      <c r="C606" s="2" t="s">
        <v>657</v>
      </c>
      <c r="D606" s="2" t="s">
        <v>35</v>
      </c>
      <c r="E606" s="2" t="n">
        <v>1.85</v>
      </c>
      <c r="F606" s="2" t="n">
        <v>0.6664</v>
      </c>
      <c r="G606" s="2" t="n">
        <v>0.2154</v>
      </c>
      <c r="H606" s="2" t="n">
        <v>0.5354</v>
      </c>
      <c r="I606" s="2" t="n">
        <v>0.4073</v>
      </c>
      <c r="J606" s="2" t="n">
        <v>0.0624</v>
      </c>
    </row>
    <row r="607" customFormat="false" ht="15" hidden="false" customHeight="false" outlineLevel="0" collapsed="false">
      <c r="A607" s="2" t="s">
        <v>668</v>
      </c>
      <c r="B607" s="2" t="n">
        <v>240</v>
      </c>
      <c r="C607" s="2" t="s">
        <v>657</v>
      </c>
      <c r="D607" s="2" t="s">
        <v>35</v>
      </c>
      <c r="E607" s="2" t="n">
        <v>2.4</v>
      </c>
      <c r="F607" s="2" t="n">
        <v>0.7119</v>
      </c>
      <c r="G607" s="2" t="n">
        <v>0.2315</v>
      </c>
      <c r="H607" s="2" t="n">
        <v>0.5805</v>
      </c>
      <c r="I607" s="2" t="n">
        <v>0.4437</v>
      </c>
      <c r="J607" s="2" t="n">
        <v>0.069</v>
      </c>
    </row>
    <row r="608" customFormat="false" ht="15" hidden="false" customHeight="false" outlineLevel="0" collapsed="false">
      <c r="A608" s="2" t="s">
        <v>669</v>
      </c>
      <c r="B608" s="2" t="n">
        <v>240</v>
      </c>
      <c r="C608" s="2" t="s">
        <v>657</v>
      </c>
      <c r="D608" s="2" t="s">
        <v>42</v>
      </c>
      <c r="E608" s="2" t="n">
        <v>0.55</v>
      </c>
      <c r="F608" s="2" t="n">
        <v>0.8343</v>
      </c>
      <c r="G608" s="2" t="n">
        <v>0.2364</v>
      </c>
      <c r="H608" s="2" t="n">
        <v>0.7162</v>
      </c>
      <c r="I608" s="2" t="n">
        <v>0.5899</v>
      </c>
      <c r="J608" s="2" t="n">
        <v>0.0888</v>
      </c>
    </row>
    <row r="609" customFormat="false" ht="15" hidden="false" customHeight="false" outlineLevel="0" collapsed="false">
      <c r="A609" s="2" t="s">
        <v>670</v>
      </c>
      <c r="B609" s="2" t="n">
        <v>240</v>
      </c>
      <c r="C609" s="2" t="s">
        <v>657</v>
      </c>
      <c r="D609" s="2" t="s">
        <v>42</v>
      </c>
      <c r="E609" s="2" t="n">
        <v>0.8</v>
      </c>
      <c r="F609" s="2" t="n">
        <v>0.8343</v>
      </c>
      <c r="G609" s="2" t="n">
        <v>0.2364</v>
      </c>
      <c r="H609" s="2" t="n">
        <v>0.7162</v>
      </c>
      <c r="I609" s="2" t="n">
        <v>0.5899</v>
      </c>
      <c r="J609" s="2" t="n">
        <v>0.0888</v>
      </c>
    </row>
    <row r="610" customFormat="false" ht="15" hidden="false" customHeight="false" outlineLevel="0" collapsed="false">
      <c r="A610" s="2" t="s">
        <v>671</v>
      </c>
      <c r="B610" s="2" t="n">
        <v>240</v>
      </c>
      <c r="C610" s="2" t="s">
        <v>657</v>
      </c>
      <c r="D610" s="2" t="s">
        <v>42</v>
      </c>
      <c r="E610" s="2" t="n">
        <v>1</v>
      </c>
      <c r="F610" s="2" t="n">
        <v>0.8343</v>
      </c>
      <c r="G610" s="2" t="n">
        <v>0.2364</v>
      </c>
      <c r="H610" s="2" t="n">
        <v>0.7162</v>
      </c>
      <c r="I610" s="2" t="n">
        <v>0.5899</v>
      </c>
      <c r="J610" s="2" t="n">
        <v>0.0888</v>
      </c>
    </row>
    <row r="611" customFormat="false" ht="15" hidden="false" customHeight="false" outlineLevel="0" collapsed="false">
      <c r="A611" s="2" t="s">
        <v>672</v>
      </c>
      <c r="B611" s="2" t="n">
        <v>240</v>
      </c>
      <c r="C611" s="2" t="s">
        <v>657</v>
      </c>
      <c r="D611" s="2" t="s">
        <v>42</v>
      </c>
      <c r="E611" s="2" t="n">
        <v>1.3</v>
      </c>
      <c r="F611" s="2" t="n">
        <v>0.8343</v>
      </c>
      <c r="G611" s="2" t="n">
        <v>0.2372</v>
      </c>
      <c r="H611" s="2" t="n">
        <v>0.717</v>
      </c>
      <c r="I611" s="2" t="n">
        <v>0.5901</v>
      </c>
      <c r="J611" s="2" t="n">
        <v>0.0891</v>
      </c>
    </row>
    <row r="612" customFormat="false" ht="15" hidden="false" customHeight="false" outlineLevel="0" collapsed="false">
      <c r="A612" s="2" t="s">
        <v>673</v>
      </c>
      <c r="B612" s="2" t="n">
        <v>240</v>
      </c>
      <c r="C612" s="2" t="s">
        <v>657</v>
      </c>
      <c r="D612" s="2" t="s">
        <v>42</v>
      </c>
      <c r="E612" s="2" t="n">
        <v>1.85</v>
      </c>
      <c r="F612" s="2" t="n">
        <v>0.8343</v>
      </c>
      <c r="G612" s="2" t="n">
        <v>0.24</v>
      </c>
      <c r="H612" s="2" t="n">
        <v>0.7199</v>
      </c>
      <c r="I612" s="2" t="n">
        <v>0.5909</v>
      </c>
      <c r="J612" s="2" t="n">
        <v>0.0901</v>
      </c>
    </row>
    <row r="613" customFormat="false" ht="15" hidden="false" customHeight="false" outlineLevel="0" collapsed="false">
      <c r="A613" s="2" t="s">
        <v>674</v>
      </c>
      <c r="B613" s="2" t="n">
        <v>240</v>
      </c>
      <c r="C613" s="2" t="s">
        <v>657</v>
      </c>
      <c r="D613" s="2" t="s">
        <v>42</v>
      </c>
      <c r="E613" s="2" t="n">
        <v>2.4</v>
      </c>
      <c r="F613" s="2" t="n">
        <v>0.8343</v>
      </c>
      <c r="G613" s="2" t="n">
        <v>0.2427</v>
      </c>
      <c r="H613" s="2" t="n">
        <v>0.7227</v>
      </c>
      <c r="I613" s="2" t="n">
        <v>0.592</v>
      </c>
      <c r="J613" s="2" t="n">
        <v>0.0916</v>
      </c>
    </row>
    <row r="614" customFormat="false" ht="15" hidden="false" customHeight="false" outlineLevel="0" collapsed="false">
      <c r="A614" s="2" t="s">
        <v>675</v>
      </c>
      <c r="B614" s="2" t="n">
        <v>220</v>
      </c>
      <c r="C614" s="2" t="s">
        <v>676</v>
      </c>
      <c r="D614" s="2" t="s">
        <v>28</v>
      </c>
      <c r="E614" s="2" t="n">
        <v>0.55</v>
      </c>
      <c r="F614" s="2" t="n">
        <v>0.2983</v>
      </c>
      <c r="G614" s="2" t="n">
        <v>0.0658</v>
      </c>
      <c r="H614" s="2" t="n">
        <v>0.2051</v>
      </c>
      <c r="I614" s="2" t="n">
        <v>0.1649</v>
      </c>
      <c r="J614" s="2" t="n">
        <v>0.0159</v>
      </c>
    </row>
    <row r="615" customFormat="false" ht="15" hidden="false" customHeight="false" outlineLevel="0" collapsed="false">
      <c r="A615" s="2" t="s">
        <v>677</v>
      </c>
      <c r="B615" s="2" t="n">
        <v>220</v>
      </c>
      <c r="C615" s="2" t="s">
        <v>676</v>
      </c>
      <c r="D615" s="2" t="s">
        <v>28</v>
      </c>
      <c r="E615" s="2" t="n">
        <v>0.8</v>
      </c>
      <c r="F615" s="2" t="n">
        <v>0.3185</v>
      </c>
      <c r="G615" s="2" t="n">
        <v>0.0745</v>
      </c>
      <c r="H615" s="2" t="n">
        <v>0.2278</v>
      </c>
      <c r="I615" s="2" t="n">
        <v>0.182</v>
      </c>
      <c r="J615" s="2" t="n">
        <v>0.0181</v>
      </c>
    </row>
    <row r="616" customFormat="false" ht="15" hidden="false" customHeight="false" outlineLevel="0" collapsed="false">
      <c r="A616" s="2" t="s">
        <v>678</v>
      </c>
      <c r="B616" s="2" t="n">
        <v>220</v>
      </c>
      <c r="C616" s="2" t="s">
        <v>676</v>
      </c>
      <c r="D616" s="2" t="s">
        <v>28</v>
      </c>
      <c r="E616" s="2" t="n">
        <v>1</v>
      </c>
      <c r="F616" s="2" t="n">
        <v>0.3346</v>
      </c>
      <c r="G616" s="2" t="n">
        <v>0.08</v>
      </c>
      <c r="H616" s="2" t="n">
        <v>0.2442</v>
      </c>
      <c r="I616" s="2" t="n">
        <v>0.1949</v>
      </c>
      <c r="J616" s="2" t="n">
        <v>0.0196</v>
      </c>
    </row>
    <row r="617" customFormat="false" ht="15" hidden="false" customHeight="false" outlineLevel="0" collapsed="false">
      <c r="A617" s="2" t="s">
        <v>679</v>
      </c>
      <c r="B617" s="2" t="n">
        <v>220</v>
      </c>
      <c r="C617" s="2" t="s">
        <v>676</v>
      </c>
      <c r="D617" s="2" t="s">
        <v>28</v>
      </c>
      <c r="E617" s="2" t="n">
        <v>1.3</v>
      </c>
      <c r="F617" s="2" t="n">
        <v>0.3566</v>
      </c>
      <c r="G617" s="2" t="n">
        <v>0.0878</v>
      </c>
      <c r="H617" s="2" t="n">
        <v>0.2663</v>
      </c>
      <c r="I617" s="2" t="n">
        <v>0.2123</v>
      </c>
      <c r="J617" s="2" t="n">
        <v>0.0226</v>
      </c>
    </row>
    <row r="618" customFormat="false" ht="15" hidden="false" customHeight="false" outlineLevel="0" collapsed="false">
      <c r="A618" s="2" t="s">
        <v>680</v>
      </c>
      <c r="B618" s="2" t="n">
        <v>220</v>
      </c>
      <c r="C618" s="2" t="s">
        <v>676</v>
      </c>
      <c r="D618" s="2" t="s">
        <v>28</v>
      </c>
      <c r="E618" s="2" t="n">
        <v>1.85</v>
      </c>
      <c r="F618" s="2" t="n">
        <v>0.397</v>
      </c>
      <c r="G618" s="2" t="n">
        <v>0.0984</v>
      </c>
      <c r="H618" s="2" t="n">
        <v>0.3049</v>
      </c>
      <c r="I618" s="2" t="n">
        <v>0.2447</v>
      </c>
      <c r="J618" s="2" t="n">
        <v>0.0261</v>
      </c>
    </row>
    <row r="619" customFormat="false" ht="15" hidden="false" customHeight="false" outlineLevel="0" collapsed="false">
      <c r="A619" s="2" t="s">
        <v>681</v>
      </c>
      <c r="B619" s="2" t="n">
        <v>220</v>
      </c>
      <c r="C619" s="2" t="s">
        <v>676</v>
      </c>
      <c r="D619" s="2" t="s">
        <v>28</v>
      </c>
      <c r="E619" s="2" t="n">
        <v>2.4</v>
      </c>
      <c r="F619" s="2" t="n">
        <v>0.4327</v>
      </c>
      <c r="G619" s="2" t="n">
        <v>0.1086</v>
      </c>
      <c r="H619" s="2" t="n">
        <v>0.3394</v>
      </c>
      <c r="I619" s="2" t="n">
        <v>0.2734</v>
      </c>
      <c r="J619" s="2" t="n">
        <v>0.0296</v>
      </c>
    </row>
    <row r="620" customFormat="false" ht="15" hidden="false" customHeight="false" outlineLevel="0" collapsed="false">
      <c r="A620" s="2" t="s">
        <v>682</v>
      </c>
      <c r="B620" s="2" t="n">
        <v>220</v>
      </c>
      <c r="C620" s="2" t="s">
        <v>676</v>
      </c>
      <c r="D620" s="2" t="s">
        <v>35</v>
      </c>
      <c r="E620" s="2" t="n">
        <v>0.55</v>
      </c>
      <c r="F620" s="2" t="n">
        <v>0.4072</v>
      </c>
      <c r="G620" s="2" t="n">
        <v>0.1187</v>
      </c>
      <c r="H620" s="2" t="n">
        <v>0.2784</v>
      </c>
      <c r="I620" s="2" t="n">
        <v>0.2039</v>
      </c>
      <c r="J620" s="2" t="n">
        <v>0.0248</v>
      </c>
    </row>
    <row r="621" customFormat="false" ht="15" hidden="false" customHeight="false" outlineLevel="0" collapsed="false">
      <c r="A621" s="2" t="s">
        <v>683</v>
      </c>
      <c r="B621" s="2" t="n">
        <v>220</v>
      </c>
      <c r="C621" s="2" t="s">
        <v>676</v>
      </c>
      <c r="D621" s="2" t="s">
        <v>35</v>
      </c>
      <c r="E621" s="2" t="n">
        <v>0.8</v>
      </c>
      <c r="F621" s="2" t="n">
        <v>0.453</v>
      </c>
      <c r="G621" s="2" t="n">
        <v>0.1355</v>
      </c>
      <c r="H621" s="2" t="n">
        <v>0.3262</v>
      </c>
      <c r="I621" s="2" t="n">
        <v>0.2422</v>
      </c>
      <c r="J621" s="2" t="n">
        <v>0.0308</v>
      </c>
    </row>
    <row r="622" customFormat="false" ht="15" hidden="false" customHeight="false" outlineLevel="0" collapsed="false">
      <c r="A622" s="2" t="s">
        <v>684</v>
      </c>
      <c r="B622" s="2" t="n">
        <v>220</v>
      </c>
      <c r="C622" s="2" t="s">
        <v>676</v>
      </c>
      <c r="D622" s="2" t="s">
        <v>35</v>
      </c>
      <c r="E622" s="2" t="n">
        <v>1</v>
      </c>
      <c r="F622" s="2" t="n">
        <v>0.4872</v>
      </c>
      <c r="G622" s="2" t="n">
        <v>0.1469</v>
      </c>
      <c r="H622" s="2" t="n">
        <v>0.36</v>
      </c>
      <c r="I622" s="2" t="n">
        <v>0.2684</v>
      </c>
      <c r="J622" s="2" t="n">
        <v>0.034</v>
      </c>
    </row>
    <row r="623" customFormat="false" ht="15" hidden="false" customHeight="false" outlineLevel="0" collapsed="false">
      <c r="A623" s="2" t="s">
        <v>685</v>
      </c>
      <c r="B623" s="2" t="n">
        <v>220</v>
      </c>
      <c r="C623" s="2" t="s">
        <v>676</v>
      </c>
      <c r="D623" s="2" t="s">
        <v>35</v>
      </c>
      <c r="E623" s="2" t="n">
        <v>1.3</v>
      </c>
      <c r="F623" s="2" t="n">
        <v>0.53</v>
      </c>
      <c r="G623" s="2" t="n">
        <v>0.1607</v>
      </c>
      <c r="H623" s="2" t="n">
        <v>0.4014</v>
      </c>
      <c r="I623" s="2" t="n">
        <v>0.3022</v>
      </c>
      <c r="J623" s="2" t="n">
        <v>0.0394</v>
      </c>
    </row>
    <row r="624" customFormat="false" ht="15" hidden="false" customHeight="false" outlineLevel="0" collapsed="false">
      <c r="A624" s="2" t="s">
        <v>686</v>
      </c>
      <c r="B624" s="2" t="n">
        <v>220</v>
      </c>
      <c r="C624" s="2" t="s">
        <v>676</v>
      </c>
      <c r="D624" s="2" t="s">
        <v>35</v>
      </c>
      <c r="E624" s="2" t="n">
        <v>1.85</v>
      </c>
      <c r="F624" s="2" t="n">
        <v>0.5945</v>
      </c>
      <c r="G624" s="2" t="n">
        <v>0.1802</v>
      </c>
      <c r="H624" s="2" t="n">
        <v>0.4631</v>
      </c>
      <c r="I624" s="2" t="n">
        <v>0.3533</v>
      </c>
      <c r="J624" s="2" t="n">
        <v>0.0462</v>
      </c>
    </row>
    <row r="625" customFormat="false" ht="15" hidden="false" customHeight="false" outlineLevel="0" collapsed="false">
      <c r="A625" s="2" t="s">
        <v>687</v>
      </c>
      <c r="B625" s="2" t="n">
        <v>220</v>
      </c>
      <c r="C625" s="2" t="s">
        <v>676</v>
      </c>
      <c r="D625" s="2" t="s">
        <v>35</v>
      </c>
      <c r="E625" s="2" t="n">
        <v>2.4</v>
      </c>
      <c r="F625" s="2" t="n">
        <v>0.644</v>
      </c>
      <c r="G625" s="2" t="n">
        <v>0.196</v>
      </c>
      <c r="H625" s="2" t="n">
        <v>0.5114</v>
      </c>
      <c r="I625" s="2" t="n">
        <v>0.3921</v>
      </c>
      <c r="J625" s="2" t="n">
        <v>0.0522</v>
      </c>
    </row>
    <row r="626" customFormat="false" ht="15" hidden="false" customHeight="false" outlineLevel="0" collapsed="false">
      <c r="A626" s="2" t="s">
        <v>688</v>
      </c>
      <c r="B626" s="2" t="n">
        <v>220</v>
      </c>
      <c r="C626" s="2" t="s">
        <v>676</v>
      </c>
      <c r="D626" s="2" t="s">
        <v>42</v>
      </c>
      <c r="E626" s="2" t="n">
        <v>0.55</v>
      </c>
      <c r="F626" s="2" t="n">
        <v>0.8083</v>
      </c>
      <c r="G626" s="2" t="n">
        <v>0.209</v>
      </c>
      <c r="H626" s="2" t="n">
        <v>0.6852</v>
      </c>
      <c r="I626" s="2" t="n">
        <v>0.571</v>
      </c>
      <c r="J626" s="2" t="n">
        <v>0.0734</v>
      </c>
    </row>
    <row r="627" customFormat="false" ht="15" hidden="false" customHeight="false" outlineLevel="0" collapsed="false">
      <c r="A627" s="2" t="s">
        <v>689</v>
      </c>
      <c r="B627" s="2" t="n">
        <v>220</v>
      </c>
      <c r="C627" s="2" t="s">
        <v>676</v>
      </c>
      <c r="D627" s="2" t="s">
        <v>42</v>
      </c>
      <c r="E627" s="2" t="n">
        <v>0.8</v>
      </c>
      <c r="F627" s="2" t="n">
        <v>0.8083</v>
      </c>
      <c r="G627" s="2" t="n">
        <v>0.209</v>
      </c>
      <c r="H627" s="2" t="n">
        <v>0.6852</v>
      </c>
      <c r="I627" s="2" t="n">
        <v>0.571</v>
      </c>
      <c r="J627" s="2" t="n">
        <v>0.0734</v>
      </c>
    </row>
    <row r="628" customFormat="false" ht="15" hidden="false" customHeight="false" outlineLevel="0" collapsed="false">
      <c r="A628" s="2" t="s">
        <v>690</v>
      </c>
      <c r="B628" s="2" t="n">
        <v>220</v>
      </c>
      <c r="C628" s="2" t="s">
        <v>676</v>
      </c>
      <c r="D628" s="2" t="s">
        <v>42</v>
      </c>
      <c r="E628" s="2" t="n">
        <v>1</v>
      </c>
      <c r="F628" s="2" t="n">
        <v>0.8083</v>
      </c>
      <c r="G628" s="2" t="n">
        <v>0.209</v>
      </c>
      <c r="H628" s="2" t="n">
        <v>0.6852</v>
      </c>
      <c r="I628" s="2" t="n">
        <v>0.571</v>
      </c>
      <c r="J628" s="2" t="n">
        <v>0.0734</v>
      </c>
    </row>
    <row r="629" customFormat="false" ht="15" hidden="false" customHeight="false" outlineLevel="0" collapsed="false">
      <c r="A629" s="2" t="s">
        <v>691</v>
      </c>
      <c r="B629" s="2" t="n">
        <v>220</v>
      </c>
      <c r="C629" s="2" t="s">
        <v>676</v>
      </c>
      <c r="D629" s="2" t="s">
        <v>42</v>
      </c>
      <c r="E629" s="2" t="n">
        <v>1.3</v>
      </c>
      <c r="F629" s="2" t="n">
        <v>0.8083</v>
      </c>
      <c r="G629" s="2" t="n">
        <v>0.2098</v>
      </c>
      <c r="H629" s="2" t="n">
        <v>0.6861</v>
      </c>
      <c r="I629" s="2" t="n">
        <v>0.5711</v>
      </c>
      <c r="J629" s="2" t="n">
        <v>0.0735</v>
      </c>
    </row>
    <row r="630" customFormat="false" ht="15" hidden="false" customHeight="false" outlineLevel="0" collapsed="false">
      <c r="A630" s="2" t="s">
        <v>692</v>
      </c>
      <c r="B630" s="2" t="n">
        <v>220</v>
      </c>
      <c r="C630" s="2" t="s">
        <v>676</v>
      </c>
      <c r="D630" s="2" t="s">
        <v>42</v>
      </c>
      <c r="E630" s="2" t="n">
        <v>1.85</v>
      </c>
      <c r="F630" s="2" t="n">
        <v>0.8083</v>
      </c>
      <c r="G630" s="2" t="n">
        <v>0.213</v>
      </c>
      <c r="H630" s="2" t="n">
        <v>0.6892</v>
      </c>
      <c r="I630" s="2" t="n">
        <v>0.572</v>
      </c>
      <c r="J630" s="2" t="n">
        <v>0.0746</v>
      </c>
    </row>
    <row r="631" customFormat="false" ht="15" hidden="false" customHeight="false" outlineLevel="0" collapsed="false">
      <c r="A631" s="2" t="s">
        <v>693</v>
      </c>
      <c r="B631" s="2" t="n">
        <v>220</v>
      </c>
      <c r="C631" s="2" t="s">
        <v>676</v>
      </c>
      <c r="D631" s="2" t="s">
        <v>42</v>
      </c>
      <c r="E631" s="2" t="n">
        <v>2.4</v>
      </c>
      <c r="F631" s="2" t="n">
        <v>0.8083</v>
      </c>
      <c r="G631" s="2" t="n">
        <v>0.2158</v>
      </c>
      <c r="H631" s="2" t="n">
        <v>0.6923</v>
      </c>
      <c r="I631" s="2" t="n">
        <v>0.5728</v>
      </c>
      <c r="J631" s="2" t="n">
        <v>0.0759</v>
      </c>
    </row>
    <row r="632" customFormat="false" ht="15" hidden="false" customHeight="false" outlineLevel="0" collapsed="false">
      <c r="A632" s="2" t="s">
        <v>694</v>
      </c>
      <c r="B632" s="2" t="n">
        <v>200</v>
      </c>
      <c r="C632" s="2" t="s">
        <v>695</v>
      </c>
      <c r="D632" s="2" t="s">
        <v>28</v>
      </c>
      <c r="E632" s="2" t="n">
        <v>0.55</v>
      </c>
      <c r="F632" s="2" t="n">
        <v>0.2629</v>
      </c>
      <c r="G632" s="2" t="n">
        <v>0.0522</v>
      </c>
      <c r="H632" s="2" t="n">
        <v>0.1748</v>
      </c>
      <c r="I632" s="2" t="n">
        <v>0.1431</v>
      </c>
      <c r="J632" s="2" t="n">
        <v>0.0118</v>
      </c>
    </row>
    <row r="633" customFormat="false" ht="15" hidden="false" customHeight="false" outlineLevel="0" collapsed="false">
      <c r="A633" s="2" t="s">
        <v>696</v>
      </c>
      <c r="B633" s="2" t="n">
        <v>200</v>
      </c>
      <c r="C633" s="2" t="s">
        <v>695</v>
      </c>
      <c r="D633" s="2" t="s">
        <v>28</v>
      </c>
      <c r="E633" s="2" t="n">
        <v>0.8</v>
      </c>
      <c r="F633" s="2" t="n">
        <v>0.2773</v>
      </c>
      <c r="G633" s="2" t="n">
        <v>0.0589</v>
      </c>
      <c r="H633" s="2" t="n">
        <v>0.1913</v>
      </c>
      <c r="I633" s="2" t="n">
        <v>0.1546</v>
      </c>
      <c r="J633" s="2" t="n">
        <v>0.0132</v>
      </c>
    </row>
    <row r="634" customFormat="false" ht="15" hidden="false" customHeight="false" outlineLevel="0" collapsed="false">
      <c r="A634" s="2" t="s">
        <v>697</v>
      </c>
      <c r="B634" s="2" t="n">
        <v>200</v>
      </c>
      <c r="C634" s="2" t="s">
        <v>695</v>
      </c>
      <c r="D634" s="2" t="s">
        <v>28</v>
      </c>
      <c r="E634" s="2" t="n">
        <v>1</v>
      </c>
      <c r="F634" s="2" t="n">
        <v>0.2887</v>
      </c>
      <c r="G634" s="2" t="n">
        <v>0.0628</v>
      </c>
      <c r="H634" s="2" t="n">
        <v>0.203</v>
      </c>
      <c r="I634" s="2" t="n">
        <v>0.1637</v>
      </c>
      <c r="J634" s="2" t="n">
        <v>0.0144</v>
      </c>
    </row>
    <row r="635" customFormat="false" ht="15" hidden="false" customHeight="false" outlineLevel="0" collapsed="false">
      <c r="A635" s="2" t="s">
        <v>698</v>
      </c>
      <c r="B635" s="2" t="n">
        <v>200</v>
      </c>
      <c r="C635" s="2" t="s">
        <v>695</v>
      </c>
      <c r="D635" s="2" t="s">
        <v>28</v>
      </c>
      <c r="E635" s="2" t="n">
        <v>1.3</v>
      </c>
      <c r="F635" s="2" t="n">
        <v>0.3048</v>
      </c>
      <c r="G635" s="2" t="n">
        <v>0.0685</v>
      </c>
      <c r="H635" s="2" t="n">
        <v>0.2194</v>
      </c>
      <c r="I635" s="2" t="n">
        <v>0.1765</v>
      </c>
      <c r="J635" s="2" t="n">
        <v>0.0162</v>
      </c>
    </row>
    <row r="636" customFormat="false" ht="15" hidden="false" customHeight="false" outlineLevel="0" collapsed="false">
      <c r="A636" s="2" t="s">
        <v>699</v>
      </c>
      <c r="B636" s="2" t="n">
        <v>200</v>
      </c>
      <c r="C636" s="2" t="s">
        <v>695</v>
      </c>
      <c r="D636" s="2" t="s">
        <v>28</v>
      </c>
      <c r="E636" s="2" t="n">
        <v>1.85</v>
      </c>
      <c r="F636" s="2" t="n">
        <v>0.3369</v>
      </c>
      <c r="G636" s="2" t="n">
        <v>0.0767</v>
      </c>
      <c r="H636" s="2" t="n">
        <v>0.2507</v>
      </c>
      <c r="I636" s="2" t="n">
        <v>0.2025</v>
      </c>
      <c r="J636" s="2" t="n">
        <v>0.0186</v>
      </c>
    </row>
    <row r="637" customFormat="false" ht="15" hidden="false" customHeight="false" outlineLevel="0" collapsed="false">
      <c r="A637" s="2" t="s">
        <v>700</v>
      </c>
      <c r="B637" s="2" t="n">
        <v>200</v>
      </c>
      <c r="C637" s="2" t="s">
        <v>695</v>
      </c>
      <c r="D637" s="2" t="s">
        <v>28</v>
      </c>
      <c r="E637" s="2" t="n">
        <v>2.4</v>
      </c>
      <c r="F637" s="2" t="n">
        <v>0.365</v>
      </c>
      <c r="G637" s="2" t="n">
        <v>0.0842</v>
      </c>
      <c r="H637" s="2" t="n">
        <v>0.2772</v>
      </c>
      <c r="I637" s="2" t="n">
        <v>0.225</v>
      </c>
      <c r="J637" s="2" t="n">
        <v>0.0214</v>
      </c>
    </row>
    <row r="638" customFormat="false" ht="15" hidden="false" customHeight="false" outlineLevel="0" collapsed="false">
      <c r="A638" s="2" t="s">
        <v>701</v>
      </c>
      <c r="B638" s="2" t="n">
        <v>200</v>
      </c>
      <c r="C638" s="2" t="s">
        <v>695</v>
      </c>
      <c r="D638" s="2" t="s">
        <v>35</v>
      </c>
      <c r="E638" s="2" t="n">
        <v>0.55</v>
      </c>
      <c r="F638" s="2" t="n">
        <v>0.3571</v>
      </c>
      <c r="G638" s="2" t="n">
        <v>0.0967</v>
      </c>
      <c r="H638" s="2" t="n">
        <v>0.2301</v>
      </c>
      <c r="I638" s="2" t="n">
        <v>0.1689</v>
      </c>
      <c r="J638" s="2" t="n">
        <v>0.0178</v>
      </c>
    </row>
    <row r="639" customFormat="false" ht="15" hidden="false" customHeight="false" outlineLevel="0" collapsed="false">
      <c r="A639" s="2" t="s">
        <v>702</v>
      </c>
      <c r="B639" s="2" t="n">
        <v>200</v>
      </c>
      <c r="C639" s="2" t="s">
        <v>695</v>
      </c>
      <c r="D639" s="2" t="s">
        <v>35</v>
      </c>
      <c r="E639" s="2" t="n">
        <v>0.8</v>
      </c>
      <c r="F639" s="2" t="n">
        <v>0.3932</v>
      </c>
      <c r="G639" s="2" t="n">
        <v>0.1103</v>
      </c>
      <c r="H639" s="2" t="n">
        <v>0.2682</v>
      </c>
      <c r="I639" s="2" t="n">
        <v>0.1985</v>
      </c>
      <c r="J639" s="2" t="n">
        <v>0.0219</v>
      </c>
    </row>
    <row r="640" customFormat="false" ht="15" hidden="false" customHeight="false" outlineLevel="0" collapsed="false">
      <c r="A640" s="2" t="s">
        <v>703</v>
      </c>
      <c r="B640" s="2" t="n">
        <v>200</v>
      </c>
      <c r="C640" s="2" t="s">
        <v>695</v>
      </c>
      <c r="D640" s="2" t="s">
        <v>35</v>
      </c>
      <c r="E640" s="2" t="n">
        <v>1</v>
      </c>
      <c r="F640" s="2" t="n">
        <v>0.4213</v>
      </c>
      <c r="G640" s="2" t="n">
        <v>0.1191</v>
      </c>
      <c r="H640" s="2" t="n">
        <v>0.2954</v>
      </c>
      <c r="I640" s="2" t="n">
        <v>0.2197</v>
      </c>
      <c r="J640" s="2" t="n">
        <v>0.0244</v>
      </c>
    </row>
    <row r="641" customFormat="false" ht="15" hidden="false" customHeight="false" outlineLevel="0" collapsed="false">
      <c r="A641" s="2" t="s">
        <v>704</v>
      </c>
      <c r="B641" s="2" t="n">
        <v>200</v>
      </c>
      <c r="C641" s="2" t="s">
        <v>695</v>
      </c>
      <c r="D641" s="2" t="s">
        <v>35</v>
      </c>
      <c r="E641" s="2" t="n">
        <v>1.3</v>
      </c>
      <c r="F641" s="2" t="n">
        <v>0.4577</v>
      </c>
      <c r="G641" s="2" t="n">
        <v>0.1293</v>
      </c>
      <c r="H641" s="2" t="n">
        <v>0.3312</v>
      </c>
      <c r="I641" s="2" t="n">
        <v>0.2484</v>
      </c>
      <c r="J641" s="2" t="n">
        <v>0.0275</v>
      </c>
    </row>
    <row r="642" customFormat="false" ht="15" hidden="false" customHeight="false" outlineLevel="0" collapsed="false">
      <c r="A642" s="2" t="s">
        <v>705</v>
      </c>
      <c r="B642" s="2" t="n">
        <v>200</v>
      </c>
      <c r="C642" s="2" t="s">
        <v>695</v>
      </c>
      <c r="D642" s="2" t="s">
        <v>35</v>
      </c>
      <c r="E642" s="2" t="n">
        <v>1.85</v>
      </c>
      <c r="F642" s="2" t="n">
        <v>0.5165</v>
      </c>
      <c r="G642" s="2" t="n">
        <v>0.146</v>
      </c>
      <c r="H642" s="2" t="n">
        <v>0.3865</v>
      </c>
      <c r="I642" s="2" t="n">
        <v>0.2944</v>
      </c>
      <c r="J642" s="2" t="n">
        <v>0.0333</v>
      </c>
    </row>
    <row r="643" customFormat="false" ht="15" hidden="false" customHeight="false" outlineLevel="0" collapsed="false">
      <c r="A643" s="2" t="s">
        <v>706</v>
      </c>
      <c r="B643" s="2" t="n">
        <v>200</v>
      </c>
      <c r="C643" s="2" t="s">
        <v>695</v>
      </c>
      <c r="D643" s="2" t="s">
        <v>35</v>
      </c>
      <c r="E643" s="2" t="n">
        <v>2.4</v>
      </c>
      <c r="F643" s="2" t="n">
        <v>0.5652</v>
      </c>
      <c r="G643" s="2" t="n">
        <v>0.1603</v>
      </c>
      <c r="H643" s="2" t="n">
        <v>0.4325</v>
      </c>
      <c r="I643" s="2" t="n">
        <v>0.3318</v>
      </c>
      <c r="J643" s="2" t="n">
        <v>0.0377</v>
      </c>
    </row>
    <row r="644" customFormat="false" ht="15" hidden="false" customHeight="false" outlineLevel="0" collapsed="false">
      <c r="A644" s="2" t="s">
        <v>707</v>
      </c>
      <c r="B644" s="2" t="n">
        <v>200</v>
      </c>
      <c r="C644" s="2" t="s">
        <v>695</v>
      </c>
      <c r="D644" s="2" t="s">
        <v>42</v>
      </c>
      <c r="E644" s="2" t="n">
        <v>0.55</v>
      </c>
      <c r="F644" s="2" t="n">
        <v>0.7774</v>
      </c>
      <c r="G644" s="2" t="n">
        <v>0.1809</v>
      </c>
      <c r="H644" s="2" t="n">
        <v>0.65</v>
      </c>
      <c r="I644" s="2" t="n">
        <v>0.5485</v>
      </c>
      <c r="J644" s="2" t="n">
        <v>0.0599</v>
      </c>
    </row>
    <row r="645" customFormat="false" ht="15" hidden="false" customHeight="false" outlineLevel="0" collapsed="false">
      <c r="A645" s="2" t="s">
        <v>708</v>
      </c>
      <c r="B645" s="2" t="n">
        <v>200</v>
      </c>
      <c r="C645" s="2" t="s">
        <v>695</v>
      </c>
      <c r="D645" s="2" t="s">
        <v>42</v>
      </c>
      <c r="E645" s="2" t="n">
        <v>0.8</v>
      </c>
      <c r="F645" s="2" t="n">
        <v>0.7774</v>
      </c>
      <c r="G645" s="2" t="n">
        <v>0.1809</v>
      </c>
      <c r="H645" s="2" t="n">
        <v>0.65</v>
      </c>
      <c r="I645" s="2" t="n">
        <v>0.5485</v>
      </c>
      <c r="J645" s="2" t="n">
        <v>0.0599</v>
      </c>
    </row>
    <row r="646" customFormat="false" ht="15" hidden="false" customHeight="false" outlineLevel="0" collapsed="false">
      <c r="A646" s="2" t="s">
        <v>709</v>
      </c>
      <c r="B646" s="2" t="n">
        <v>200</v>
      </c>
      <c r="C646" s="2" t="s">
        <v>695</v>
      </c>
      <c r="D646" s="2" t="s">
        <v>42</v>
      </c>
      <c r="E646" s="2" t="n">
        <v>1</v>
      </c>
      <c r="F646" s="2" t="n">
        <v>0.7774</v>
      </c>
      <c r="G646" s="2" t="n">
        <v>0.1809</v>
      </c>
      <c r="H646" s="2" t="n">
        <v>0.65</v>
      </c>
      <c r="I646" s="2" t="n">
        <v>0.5485</v>
      </c>
      <c r="J646" s="2" t="n">
        <v>0.0599</v>
      </c>
    </row>
    <row r="647" customFormat="false" ht="15" hidden="false" customHeight="false" outlineLevel="0" collapsed="false">
      <c r="A647" s="2" t="s">
        <v>710</v>
      </c>
      <c r="B647" s="2" t="n">
        <v>200</v>
      </c>
      <c r="C647" s="2" t="s">
        <v>695</v>
      </c>
      <c r="D647" s="2" t="s">
        <v>42</v>
      </c>
      <c r="E647" s="2" t="n">
        <v>1.3</v>
      </c>
      <c r="F647" s="2" t="n">
        <v>0.7774</v>
      </c>
      <c r="G647" s="2" t="n">
        <v>0.1818</v>
      </c>
      <c r="H647" s="2" t="n">
        <v>0.651</v>
      </c>
      <c r="I647" s="2" t="n">
        <v>0.5487</v>
      </c>
      <c r="J647" s="2" t="n">
        <v>0.0601</v>
      </c>
    </row>
    <row r="648" customFormat="false" ht="15" hidden="false" customHeight="false" outlineLevel="0" collapsed="false">
      <c r="A648" s="2" t="s">
        <v>711</v>
      </c>
      <c r="B648" s="2" t="n">
        <v>200</v>
      </c>
      <c r="C648" s="2" t="s">
        <v>695</v>
      </c>
      <c r="D648" s="2" t="s">
        <v>42</v>
      </c>
      <c r="E648" s="2" t="n">
        <v>1.85</v>
      </c>
      <c r="F648" s="2" t="n">
        <v>0.7774</v>
      </c>
      <c r="G648" s="2" t="n">
        <v>0.1848</v>
      </c>
      <c r="H648" s="2" t="n">
        <v>0.654</v>
      </c>
      <c r="I648" s="2" t="n">
        <v>0.5494</v>
      </c>
      <c r="J648" s="2" t="n">
        <v>0.0611</v>
      </c>
    </row>
    <row r="649" customFormat="false" ht="15" hidden="false" customHeight="false" outlineLevel="0" collapsed="false">
      <c r="A649" s="2" t="s">
        <v>712</v>
      </c>
      <c r="B649" s="2" t="n">
        <v>200</v>
      </c>
      <c r="C649" s="2" t="s">
        <v>695</v>
      </c>
      <c r="D649" s="2" t="s">
        <v>42</v>
      </c>
      <c r="E649" s="2" t="n">
        <v>2.4</v>
      </c>
      <c r="F649" s="2" t="n">
        <v>0.7774</v>
      </c>
      <c r="G649" s="2" t="n">
        <v>0.1878</v>
      </c>
      <c r="H649" s="2" t="n">
        <v>0.6567</v>
      </c>
      <c r="I649" s="2" t="n">
        <v>0.5501</v>
      </c>
      <c r="J649" s="2" t="n">
        <v>0.0621</v>
      </c>
    </row>
    <row r="650" customFormat="false" ht="15" hidden="false" customHeight="false" outlineLevel="0" collapsed="false">
      <c r="A650" s="2" t="s">
        <v>713</v>
      </c>
      <c r="B650" s="2" t="n">
        <v>180</v>
      </c>
      <c r="C650" s="2" t="s">
        <v>714</v>
      </c>
      <c r="D650" s="2" t="s">
        <v>28</v>
      </c>
      <c r="E650" s="2" t="n">
        <v>0.55</v>
      </c>
      <c r="F650" s="2" t="n">
        <v>0.2312</v>
      </c>
      <c r="G650" s="2" t="n">
        <v>0.0403</v>
      </c>
      <c r="H650" s="2" t="n">
        <v>0.1477</v>
      </c>
      <c r="I650" s="2" t="n">
        <v>0.1237</v>
      </c>
      <c r="J650" s="2" t="n">
        <v>0.0089</v>
      </c>
    </row>
    <row r="651" customFormat="false" ht="15" hidden="false" customHeight="false" outlineLevel="0" collapsed="false">
      <c r="A651" s="2" t="s">
        <v>715</v>
      </c>
      <c r="B651" s="2" t="n">
        <v>180</v>
      </c>
      <c r="C651" s="2" t="s">
        <v>714</v>
      </c>
      <c r="D651" s="2" t="s">
        <v>28</v>
      </c>
      <c r="E651" s="2" t="n">
        <v>0.8</v>
      </c>
      <c r="F651" s="2" t="n">
        <v>0.2414</v>
      </c>
      <c r="G651" s="2" t="n">
        <v>0.0453</v>
      </c>
      <c r="H651" s="2" t="n">
        <v>0.1594</v>
      </c>
      <c r="I651" s="2" t="n">
        <v>0.1322</v>
      </c>
      <c r="J651" s="2" t="n">
        <v>0.0101</v>
      </c>
    </row>
    <row r="652" customFormat="false" ht="15" hidden="false" customHeight="false" outlineLevel="0" collapsed="false">
      <c r="A652" s="2" t="s">
        <v>716</v>
      </c>
      <c r="B652" s="2" t="n">
        <v>180</v>
      </c>
      <c r="C652" s="2" t="s">
        <v>714</v>
      </c>
      <c r="D652" s="2" t="s">
        <v>28</v>
      </c>
      <c r="E652" s="2" t="n">
        <v>1</v>
      </c>
      <c r="F652" s="2" t="n">
        <v>0.249</v>
      </c>
      <c r="G652" s="2" t="n">
        <v>0.0482</v>
      </c>
      <c r="H652" s="2" t="n">
        <v>0.1676</v>
      </c>
      <c r="I652" s="2" t="n">
        <v>0.1381</v>
      </c>
      <c r="J652" s="2" t="n">
        <v>0.0107</v>
      </c>
    </row>
    <row r="653" customFormat="false" ht="15" hidden="false" customHeight="false" outlineLevel="0" collapsed="false">
      <c r="A653" s="2" t="s">
        <v>717</v>
      </c>
      <c r="B653" s="2" t="n">
        <v>180</v>
      </c>
      <c r="C653" s="2" t="s">
        <v>714</v>
      </c>
      <c r="D653" s="2" t="s">
        <v>28</v>
      </c>
      <c r="E653" s="2" t="n">
        <v>1.3</v>
      </c>
      <c r="F653" s="2" t="n">
        <v>0.2606</v>
      </c>
      <c r="G653" s="2" t="n">
        <v>0.052</v>
      </c>
      <c r="H653" s="2" t="n">
        <v>0.1794</v>
      </c>
      <c r="I653" s="2" t="n">
        <v>0.1474</v>
      </c>
      <c r="J653" s="2" t="n">
        <v>0.0118</v>
      </c>
    </row>
    <row r="654" customFormat="false" ht="15" hidden="false" customHeight="false" outlineLevel="0" collapsed="false">
      <c r="A654" s="2" t="s">
        <v>718</v>
      </c>
      <c r="B654" s="2" t="n">
        <v>180</v>
      </c>
      <c r="C654" s="2" t="s">
        <v>714</v>
      </c>
      <c r="D654" s="2" t="s">
        <v>28</v>
      </c>
      <c r="E654" s="2" t="n">
        <v>1.85</v>
      </c>
      <c r="F654" s="2" t="n">
        <v>0.2811</v>
      </c>
      <c r="G654" s="2" t="n">
        <v>0.0576</v>
      </c>
      <c r="H654" s="2" t="n">
        <v>0.1999</v>
      </c>
      <c r="I654" s="2" t="n">
        <v>0.1638</v>
      </c>
      <c r="J654" s="2" t="n">
        <v>0.0131</v>
      </c>
    </row>
    <row r="655" customFormat="false" ht="15" hidden="false" customHeight="false" outlineLevel="0" collapsed="false">
      <c r="A655" s="2" t="s">
        <v>719</v>
      </c>
      <c r="B655" s="2" t="n">
        <v>180</v>
      </c>
      <c r="C655" s="2" t="s">
        <v>714</v>
      </c>
      <c r="D655" s="2" t="s">
        <v>28</v>
      </c>
      <c r="E655" s="2" t="n">
        <v>2.4</v>
      </c>
      <c r="F655" s="2" t="n">
        <v>0.3009</v>
      </c>
      <c r="G655" s="2" t="n">
        <v>0.0628</v>
      </c>
      <c r="H655" s="2" t="n">
        <v>0.2187</v>
      </c>
      <c r="I655" s="2" t="n">
        <v>0.1794</v>
      </c>
      <c r="J655" s="2" t="n">
        <v>0.0147</v>
      </c>
    </row>
    <row r="656" customFormat="false" ht="15" hidden="false" customHeight="false" outlineLevel="0" collapsed="false">
      <c r="A656" s="2" t="s">
        <v>720</v>
      </c>
      <c r="B656" s="2" t="n">
        <v>180</v>
      </c>
      <c r="C656" s="2" t="s">
        <v>714</v>
      </c>
      <c r="D656" s="2" t="s">
        <v>35</v>
      </c>
      <c r="E656" s="2" t="n">
        <v>0.55</v>
      </c>
      <c r="F656" s="2" t="n">
        <v>0.3066</v>
      </c>
      <c r="G656" s="2" t="n">
        <v>0.0761</v>
      </c>
      <c r="H656" s="2" t="n">
        <v>0.1808</v>
      </c>
      <c r="I656" s="2" t="n">
        <v>0.133</v>
      </c>
      <c r="J656" s="2" t="n">
        <v>0.0123</v>
      </c>
    </row>
    <row r="657" customFormat="false" ht="15" hidden="false" customHeight="false" outlineLevel="0" collapsed="false">
      <c r="A657" s="2" t="s">
        <v>721</v>
      </c>
      <c r="B657" s="2" t="n">
        <v>180</v>
      </c>
      <c r="C657" s="2" t="s">
        <v>714</v>
      </c>
      <c r="D657" s="2" t="s">
        <v>35</v>
      </c>
      <c r="E657" s="2" t="n">
        <v>0.8</v>
      </c>
      <c r="F657" s="2" t="n">
        <v>0.3349</v>
      </c>
      <c r="G657" s="2" t="n">
        <v>0.0869</v>
      </c>
      <c r="H657" s="2" t="n">
        <v>0.2113</v>
      </c>
      <c r="I657" s="2" t="n">
        <v>0.1566</v>
      </c>
      <c r="J657" s="2" t="n">
        <v>0.0152</v>
      </c>
    </row>
    <row r="658" customFormat="false" ht="15" hidden="false" customHeight="false" outlineLevel="0" collapsed="false">
      <c r="A658" s="2" t="s">
        <v>722</v>
      </c>
      <c r="B658" s="2" t="n">
        <v>180</v>
      </c>
      <c r="C658" s="2" t="s">
        <v>714</v>
      </c>
      <c r="D658" s="2" t="s">
        <v>35</v>
      </c>
      <c r="E658" s="2" t="n">
        <v>1</v>
      </c>
      <c r="F658" s="2" t="n">
        <v>0.3565</v>
      </c>
      <c r="G658" s="2" t="n">
        <v>0.0941</v>
      </c>
      <c r="H658" s="2" t="n">
        <v>0.2331</v>
      </c>
      <c r="I658" s="2" t="n">
        <v>0.1734</v>
      </c>
      <c r="J658" s="2" t="n">
        <v>0.0169</v>
      </c>
    </row>
    <row r="659" customFormat="false" ht="15" hidden="false" customHeight="false" outlineLevel="0" collapsed="false">
      <c r="A659" s="2" t="s">
        <v>723</v>
      </c>
      <c r="B659" s="2" t="n">
        <v>180</v>
      </c>
      <c r="C659" s="2" t="s">
        <v>714</v>
      </c>
      <c r="D659" s="2" t="s">
        <v>35</v>
      </c>
      <c r="E659" s="2" t="n">
        <v>1.3</v>
      </c>
      <c r="F659" s="2" t="n">
        <v>0.3853</v>
      </c>
      <c r="G659" s="2" t="n">
        <v>0.1017</v>
      </c>
      <c r="H659" s="2" t="n">
        <v>0.2615</v>
      </c>
      <c r="I659" s="2" t="n">
        <v>0.1963</v>
      </c>
      <c r="J659" s="2" t="n">
        <v>0.0188</v>
      </c>
    </row>
    <row r="660" customFormat="false" ht="15" hidden="false" customHeight="false" outlineLevel="0" collapsed="false">
      <c r="A660" s="2" t="s">
        <v>724</v>
      </c>
      <c r="B660" s="2" t="n">
        <v>180</v>
      </c>
      <c r="C660" s="2" t="s">
        <v>714</v>
      </c>
      <c r="D660" s="2" t="s">
        <v>35</v>
      </c>
      <c r="E660" s="2" t="n">
        <v>1.85</v>
      </c>
      <c r="F660" s="2" t="n">
        <v>0.434</v>
      </c>
      <c r="G660" s="2" t="n">
        <v>0.1138</v>
      </c>
      <c r="H660" s="2" t="n">
        <v>0.3075</v>
      </c>
      <c r="I660" s="2" t="n">
        <v>0.2339</v>
      </c>
      <c r="J660" s="2" t="n">
        <v>0.022</v>
      </c>
    </row>
    <row r="661" customFormat="false" ht="15" hidden="false" customHeight="false" outlineLevel="0" collapsed="false">
      <c r="A661" s="2" t="s">
        <v>725</v>
      </c>
      <c r="B661" s="2" t="n">
        <v>180</v>
      </c>
      <c r="C661" s="2" t="s">
        <v>714</v>
      </c>
      <c r="D661" s="2" t="s">
        <v>35</v>
      </c>
      <c r="E661" s="2" t="n">
        <v>2.4</v>
      </c>
      <c r="F661" s="2" t="n">
        <v>0.4725</v>
      </c>
      <c r="G661" s="2" t="n">
        <v>0.1249</v>
      </c>
      <c r="H661" s="2" t="n">
        <v>0.3437</v>
      </c>
      <c r="I661" s="2" t="n">
        <v>0.2627</v>
      </c>
      <c r="J661" s="2" t="n">
        <v>0.0247</v>
      </c>
    </row>
    <row r="662" customFormat="false" ht="15" hidden="false" customHeight="false" outlineLevel="0" collapsed="false">
      <c r="A662" s="2" t="s">
        <v>726</v>
      </c>
      <c r="B662" s="2" t="n">
        <v>180</v>
      </c>
      <c r="C662" s="2" t="s">
        <v>714</v>
      </c>
      <c r="D662" s="2" t="s">
        <v>42</v>
      </c>
      <c r="E662" s="2" t="n">
        <v>0.55</v>
      </c>
      <c r="F662" s="2" t="n">
        <v>0.7426</v>
      </c>
      <c r="G662" s="2" t="n">
        <v>0.1524</v>
      </c>
      <c r="H662" s="2" t="n">
        <v>0.6113</v>
      </c>
      <c r="I662" s="2" t="n">
        <v>0.5242</v>
      </c>
      <c r="J662" s="2" t="n">
        <v>0.0472</v>
      </c>
    </row>
    <row r="663" customFormat="false" ht="15" hidden="false" customHeight="false" outlineLevel="0" collapsed="false">
      <c r="A663" s="2" t="s">
        <v>727</v>
      </c>
      <c r="B663" s="2" t="n">
        <v>180</v>
      </c>
      <c r="C663" s="2" t="s">
        <v>714</v>
      </c>
      <c r="D663" s="2" t="s">
        <v>42</v>
      </c>
      <c r="E663" s="2" t="n">
        <v>0.8</v>
      </c>
      <c r="F663" s="2" t="n">
        <v>0.7426</v>
      </c>
      <c r="G663" s="2" t="n">
        <v>0.1524</v>
      </c>
      <c r="H663" s="2" t="n">
        <v>0.6113</v>
      </c>
      <c r="I663" s="2" t="n">
        <v>0.5242</v>
      </c>
      <c r="J663" s="2" t="n">
        <v>0.0472</v>
      </c>
    </row>
    <row r="664" customFormat="false" ht="15" hidden="false" customHeight="false" outlineLevel="0" collapsed="false">
      <c r="A664" s="2" t="s">
        <v>728</v>
      </c>
      <c r="B664" s="2" t="n">
        <v>180</v>
      </c>
      <c r="C664" s="2" t="s">
        <v>714</v>
      </c>
      <c r="D664" s="2" t="s">
        <v>42</v>
      </c>
      <c r="E664" s="2" t="n">
        <v>1</v>
      </c>
      <c r="F664" s="2" t="n">
        <v>0.7426</v>
      </c>
      <c r="G664" s="2" t="n">
        <v>0.1524</v>
      </c>
      <c r="H664" s="2" t="n">
        <v>0.6113</v>
      </c>
      <c r="I664" s="2" t="n">
        <v>0.5242</v>
      </c>
      <c r="J664" s="2" t="n">
        <v>0.0472</v>
      </c>
    </row>
    <row r="665" customFormat="false" ht="15" hidden="false" customHeight="false" outlineLevel="0" collapsed="false">
      <c r="A665" s="2" t="s">
        <v>729</v>
      </c>
      <c r="B665" s="2" t="n">
        <v>180</v>
      </c>
      <c r="C665" s="2" t="s">
        <v>714</v>
      </c>
      <c r="D665" s="2" t="s">
        <v>42</v>
      </c>
      <c r="E665" s="2" t="n">
        <v>1.3</v>
      </c>
      <c r="F665" s="2" t="n">
        <v>0.7426</v>
      </c>
      <c r="G665" s="2" t="n">
        <v>0.1532</v>
      </c>
      <c r="H665" s="2" t="n">
        <v>0.6121</v>
      </c>
      <c r="I665" s="2" t="n">
        <v>0.5244</v>
      </c>
      <c r="J665" s="2" t="n">
        <v>0.0473</v>
      </c>
    </row>
    <row r="666" customFormat="false" ht="15" hidden="false" customHeight="false" outlineLevel="0" collapsed="false">
      <c r="A666" s="2" t="s">
        <v>730</v>
      </c>
      <c r="B666" s="2" t="n">
        <v>180</v>
      </c>
      <c r="C666" s="2" t="s">
        <v>714</v>
      </c>
      <c r="D666" s="2" t="s">
        <v>42</v>
      </c>
      <c r="E666" s="2" t="n">
        <v>1.85</v>
      </c>
      <c r="F666" s="2" t="n">
        <v>0.7426</v>
      </c>
      <c r="G666" s="2" t="n">
        <v>0.156</v>
      </c>
      <c r="H666" s="2" t="n">
        <v>0.6147</v>
      </c>
      <c r="I666" s="2" t="n">
        <v>0.5248</v>
      </c>
      <c r="J666" s="2" t="n">
        <v>0.0479</v>
      </c>
    </row>
    <row r="667" customFormat="false" ht="15" hidden="false" customHeight="false" outlineLevel="0" collapsed="false">
      <c r="A667" s="2" t="s">
        <v>731</v>
      </c>
      <c r="B667" s="2" t="n">
        <v>180</v>
      </c>
      <c r="C667" s="2" t="s">
        <v>714</v>
      </c>
      <c r="D667" s="2" t="s">
        <v>42</v>
      </c>
      <c r="E667" s="2" t="n">
        <v>2.4</v>
      </c>
      <c r="F667" s="2" t="n">
        <v>0.7426</v>
      </c>
      <c r="G667" s="2" t="n">
        <v>0.1592</v>
      </c>
      <c r="H667" s="2" t="n">
        <v>0.6179</v>
      </c>
      <c r="I667" s="2" t="n">
        <v>0.5253</v>
      </c>
      <c r="J667" s="2" t="n">
        <v>0.0485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2" style="0" width="13"/>
  </cols>
  <sheetData>
    <row r="1" customFormat="false" ht="15" hidden="false" customHeight="false" outlineLevel="0" collapsed="false">
      <c r="A1" s="1" t="s">
        <v>732</v>
      </c>
    </row>
    <row r="3" customFormat="false" ht="15" hidden="false" customHeight="false" outlineLevel="0" collapsed="false">
      <c r="A3" s="2" t="s">
        <v>733</v>
      </c>
      <c r="D3" s="3" t="s">
        <v>315</v>
      </c>
    </row>
    <row r="4" customFormat="false" ht="15" hidden="false" customHeight="false" outlineLevel="0" collapsed="false">
      <c r="A4" s="2" t="s">
        <v>734</v>
      </c>
      <c r="D4" s="3" t="s">
        <v>28</v>
      </c>
    </row>
    <row r="5" customFormat="false" ht="15" hidden="false" customHeight="false" outlineLevel="0" collapsed="false">
      <c r="A5" s="2" t="s">
        <v>735</v>
      </c>
      <c r="D5" s="3" t="n">
        <v>1</v>
      </c>
    </row>
    <row r="6" customFormat="false" ht="15" hidden="false" customHeight="false" outlineLevel="0" collapsed="false">
      <c r="A6" s="2" t="s">
        <v>736</v>
      </c>
      <c r="D6" s="3" t="s">
        <v>737</v>
      </c>
    </row>
    <row r="7" customFormat="false" ht="15" hidden="false" customHeight="false" outlineLevel="0" collapsed="false">
      <c r="A7" s="2" t="s">
        <v>738</v>
      </c>
      <c r="D7" s="3" t="s">
        <v>739</v>
      </c>
    </row>
    <row r="8" customFormat="false" ht="15" hidden="false" customHeight="false" outlineLevel="0" collapsed="false">
      <c r="A8" s="2" t="s">
        <v>740</v>
      </c>
      <c r="D8" s="4" t="n">
        <v>0.1</v>
      </c>
    </row>
    <row r="9" customFormat="false" ht="15" hidden="false" customHeight="false" outlineLevel="0" collapsed="false">
      <c r="A9" s="2" t="s">
        <v>741</v>
      </c>
      <c r="D9" s="2" t="n">
        <f aca="false">MAX(180,MIN(900,VALUE(LEFT(D3,FIND(":",D3)-1))*60+VALUE(MID(D3,FIND(":",D3)+1,2))))</f>
        <v>600</v>
      </c>
      <c r="E9" s="2" t="n">
        <f aca="false">D5*IF(LOWER(D6)="y",1.34,1)*IF(LOWER(D7)="fav",1.07,IF(LOWER(D7)="dog",0.64,1))</f>
        <v>1</v>
      </c>
    </row>
    <row r="10" customFormat="false" ht="15" hidden="false" customHeight="false" outlineLevel="0" collapsed="false">
      <c r="A10" s="2" t="s">
        <v>742</v>
      </c>
      <c r="D10" s="2" t="n">
        <f aca="false">IF(E9&lt;=0.8,0.55,IF(E9&lt;=1,0.8,IF(E9&lt;=1.3,1,IF(E9&lt;=1.85,1.3,1.85))))</f>
        <v>0.8</v>
      </c>
      <c r="E10" s="2" t="n">
        <f aca="false">IF(E9&lt;=0.8,0.8,IF(E9&lt;=1,1,IF(E9&lt;=1.3,1.3,IF(E9&lt;=1.85,1.85,2.4))))</f>
        <v>1</v>
      </c>
      <c r="F10" s="2" t="n">
        <f aca="false">MAX(0,MIN(1,(E9-D10)/(E10-D10)))</f>
        <v>1</v>
      </c>
    </row>
    <row r="11" customFormat="false" ht="15" hidden="false" customHeight="false" outlineLevel="0" collapsed="false">
      <c r="A11" s="2" t="s">
        <v>743</v>
      </c>
      <c r="D11" s="2" t="n">
        <f aca="false">MIN(880,FLOOR(D9,20))</f>
        <v>600</v>
      </c>
      <c r="E11" s="2" t="n">
        <f aca="false">D11+20</f>
        <v>620</v>
      </c>
      <c r="F11" s="2" t="n">
        <f aca="false">MAX(0,MIN(1,(D9-D11)/20))</f>
        <v>0</v>
      </c>
    </row>
    <row r="12" customFormat="false" ht="15" hidden="false" customHeight="false" outlineLevel="0" collapsed="false">
      <c r="A12" s="2" t="s">
        <v>744</v>
      </c>
      <c r="B12" s="2" t="str">
        <f aca="false">D11&amp;"|"&amp;D4&amp;"|"&amp;TEXT(D10,"0.00")</f>
        <v>600|not_pulled_EV|0.80</v>
      </c>
      <c r="C12" s="2" t="str">
        <f aca="false">D11&amp;"|"&amp;D4&amp;"|"&amp;TEXT(E10,"0.00")</f>
        <v>600|not_pulled_EV|1.00</v>
      </c>
      <c r="D12" s="2" t="str">
        <f aca="false">E11&amp;"|"&amp;D4&amp;"|"&amp;TEXT(D10,"0.00")</f>
        <v>620|not_pulled_EV|0.80</v>
      </c>
      <c r="E12" s="2" t="str">
        <f aca="false">E11&amp;"|"&amp;D4&amp;"|"&amp;TEXT(E10,"0.00")</f>
        <v>620|not_pulled_EV|1.00</v>
      </c>
    </row>
    <row r="14" customFormat="false" ht="15" hidden="false" customHeight="false" outlineLevel="0" collapsed="false">
      <c r="A14" s="1" t="s">
        <v>745</v>
      </c>
      <c r="D14" s="1" t="s">
        <v>746</v>
      </c>
      <c r="E14" s="1" t="s">
        <v>747</v>
      </c>
    </row>
    <row r="15" customFormat="false" ht="15" hidden="false" customHeight="false" outlineLevel="0" collapsed="false">
      <c r="A15" s="2" t="s">
        <v>748</v>
      </c>
      <c r="D15" s="5" t="n">
        <f aca="false">(1-$F$11)*((1-$F$10)*B22+$F$10*C22)+$F$11*((1-$F$10)*D22+$F$10*E22)</f>
        <v>0.7281</v>
      </c>
      <c r="E15" s="1" t="str">
        <f aca="false">IF(D15&lt;=0,"n/a",IF((1+$D$8-D15)/D15&gt;=1,"+"&amp;TEXT(ROUND((1+$D$8-D15)/D15*100,0),"0"),"-"&amp;TEXT(ROUND(100/((1+$D$8-D15)/D15),0),"0")))</f>
        <v>-196</v>
      </c>
    </row>
    <row r="16" customFormat="false" ht="15" hidden="false" customHeight="false" outlineLevel="0" collapsed="false">
      <c r="A16" s="2" t="s">
        <v>749</v>
      </c>
      <c r="D16" s="5" t="n">
        <f aca="false">(1-$F$11)*((1-$F$10)*B23+$F$10*C23)+$F$11*((1-$F$10)*D23+$F$10*E23)</f>
        <v>0.3514</v>
      </c>
      <c r="E16" s="1" t="str">
        <f aca="false">IF(D16&lt;=0,"n/a",IF((1+$D$8-D16)/D16&gt;=1,"+"&amp;TEXT(ROUND((1+$D$8-D16)/D16*100,0),"0"),"-"&amp;TEXT(ROUND(100/((1+$D$8-D16)/D16),0),"0")))</f>
        <v>+213</v>
      </c>
    </row>
    <row r="17" customFormat="false" ht="15" hidden="false" customHeight="false" outlineLevel="0" collapsed="false">
      <c r="A17" s="2" t="s">
        <v>750</v>
      </c>
      <c r="D17" s="5" t="n">
        <f aca="false">(1-$F$11)*((1-$F$10)*B24+$F$10*C24)+$F$11*((1-$F$10)*D24+$F$10*E24)</f>
        <v>0.6227</v>
      </c>
      <c r="E17" s="1" t="str">
        <f aca="false">IF(D17&lt;=0,"n/a",IF((1+$D$8-D17)/D17&gt;=1,"+"&amp;TEXT(ROUND((1+$D$8-D17)/D17*100,0),"0"),"-"&amp;TEXT(ROUND(100/((1+$D$8-D17)/D17),0),"0")))</f>
        <v>-130</v>
      </c>
    </row>
    <row r="18" customFormat="false" ht="15" hidden="false" customHeight="false" outlineLevel="0" collapsed="false">
      <c r="A18" s="2" t="s">
        <v>751</v>
      </c>
      <c r="D18" s="5" t="n">
        <f aca="false">(1-$F$11)*((1-$F$10)*B25+$F$10*C25)+$F$11*((1-$F$10)*D25+$F$10*E25)</f>
        <v>0.4404</v>
      </c>
      <c r="E18" s="1" t="str">
        <f aca="false">IF(D18&lt;=0,"n/a",IF((1+$D$8-D18)/D18&gt;=1,"+"&amp;TEXT(ROUND((1+$D$8-D18)/D18*100,0),"0"),"-"&amp;TEXT(ROUND(100/((1+$D$8-D18)/D18),0),"0")))</f>
        <v>+150</v>
      </c>
    </row>
    <row r="19" customFormat="false" ht="15" hidden="false" customHeight="false" outlineLevel="0" collapsed="false">
      <c r="A19" s="2" t="s">
        <v>752</v>
      </c>
      <c r="D19" s="6" t="str">
        <f aca="false">IF(AND(D4="pulled",D9&gt;420),"EXTRAPOLATED — no real pulls this early","ok")</f>
        <v>ok</v>
      </c>
      <c r="E19" s="6" t="str">
        <f aca="false">IF(D4="pulled","2+ goals market WITHDRAWN in pulled state — do not bet","")</f>
        <v/>
      </c>
    </row>
    <row r="21" customFormat="false" ht="15" hidden="false" customHeight="false" outlineLevel="0" collapsed="false">
      <c r="A21" s="1" t="s">
        <v>753</v>
      </c>
    </row>
    <row r="22" customFormat="false" ht="15" hidden="false" customHeight="false" outlineLevel="0" collapsed="false">
      <c r="A22" s="2" t="s">
        <v>754</v>
      </c>
      <c r="B22" s="7" t="n">
        <f aca="false">INDEX(PRICES!F:F,MATCH($B$12,PRICES!A:A,0))</f>
        <v>0.7009</v>
      </c>
      <c r="C22" s="7" t="n">
        <f aca="false">INDEX(PRICES!F:F,MATCH($C$12,PRICES!A:A,0))</f>
        <v>0.7281</v>
      </c>
      <c r="D22" s="7" t="n">
        <f aca="false">INDEX(PRICES!F:F,MATCH($D$12,PRICES!A:A,0))</f>
        <v>0.7087</v>
      </c>
      <c r="E22" s="7" t="n">
        <f aca="false">INDEX(PRICES!F:F,MATCH($E$12,PRICES!A:A,0))</f>
        <v>0.7335</v>
      </c>
    </row>
    <row r="23" customFormat="false" ht="15" hidden="false" customHeight="false" outlineLevel="0" collapsed="false">
      <c r="A23" s="2" t="s">
        <v>755</v>
      </c>
      <c r="B23" s="7" t="n">
        <f aca="false">INDEX(PRICES!G:G,MATCH($B$12,PRICES!A:A,0))</f>
        <v>0.3365</v>
      </c>
      <c r="C23" s="7" t="n">
        <f aca="false">INDEX(PRICES!G:G,MATCH($C$12,PRICES!A:A,0))</f>
        <v>0.3514</v>
      </c>
      <c r="D23" s="7" t="n">
        <f aca="false">INDEX(PRICES!G:G,MATCH($D$12,PRICES!A:A,0))</f>
        <v>0.3453</v>
      </c>
      <c r="E23" s="7" t="n">
        <f aca="false">INDEX(PRICES!G:G,MATCH($E$12,PRICES!A:A,0))</f>
        <v>0.3595</v>
      </c>
    </row>
    <row r="24" customFormat="false" ht="15" hidden="false" customHeight="false" outlineLevel="0" collapsed="false">
      <c r="A24" s="2" t="s">
        <v>756</v>
      </c>
      <c r="B24" s="7" t="n">
        <f aca="false">INDEX(PRICES!H:H,MATCH($B$12,PRICES!A:A,0))</f>
        <v>0.5915</v>
      </c>
      <c r="C24" s="7" t="n">
        <f aca="false">INDEX(PRICES!H:H,MATCH($C$12,PRICES!A:A,0))</f>
        <v>0.6227</v>
      </c>
      <c r="D24" s="7" t="n">
        <f aca="false">INDEX(PRICES!H:H,MATCH($D$12,PRICES!A:A,0))</f>
        <v>0.5998</v>
      </c>
      <c r="E24" s="7" t="n">
        <f aca="false">INDEX(PRICES!H:H,MATCH($E$12,PRICES!A:A,0))</f>
        <v>0.6294</v>
      </c>
    </row>
    <row r="25" customFormat="false" ht="15" hidden="false" customHeight="false" outlineLevel="0" collapsed="false">
      <c r="A25" s="2" t="s">
        <v>757</v>
      </c>
      <c r="B25" s="7" t="n">
        <f aca="false">INDEX(PRICES!I:I,MATCH($B$12,PRICES!A:A,0))</f>
        <v>0.4139</v>
      </c>
      <c r="C25" s="7" t="n">
        <f aca="false">INDEX(PRICES!I:I,MATCH($C$12,PRICES!A:A,0))</f>
        <v>0.4404</v>
      </c>
      <c r="D25" s="7" t="n">
        <f aca="false">INDEX(PRICES!I:I,MATCH($D$12,PRICES!A:A,0))</f>
        <v>0.4185</v>
      </c>
      <c r="E25" s="7" t="n">
        <f aca="false">INDEX(PRICES!I:I,MATCH($E$12,PRICES!A:A,0))</f>
        <v>0.4428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5" style="0" width="22"/>
  </cols>
  <sheetData>
    <row r="1" customFormat="false" ht="15" hidden="false" customHeight="false" outlineLevel="0" collapsed="false">
      <c r="A1" s="1" t="s">
        <v>758</v>
      </c>
      <c r="B1" s="1" t="s">
        <v>759</v>
      </c>
      <c r="C1" s="1" t="s">
        <v>760</v>
      </c>
      <c r="D1" s="1" t="s">
        <v>761</v>
      </c>
      <c r="E1" s="1" t="s">
        <v>762</v>
      </c>
      <c r="F1" s="1" t="s">
        <v>763</v>
      </c>
      <c r="G1" s="1" t="s">
        <v>764</v>
      </c>
    </row>
    <row r="2" customFormat="false" ht="15" hidden="false" customHeight="false" outlineLevel="0" collapsed="false">
      <c r="A2" s="2" t="s">
        <v>765</v>
      </c>
      <c r="B2" s="2" t="n">
        <v>9</v>
      </c>
      <c r="C2" s="2" t="n">
        <v>1.25</v>
      </c>
      <c r="D2" s="2" t="n">
        <v>3.386</v>
      </c>
      <c r="E2" s="2" t="n">
        <v>1.847</v>
      </c>
      <c r="F2" s="2" t="n">
        <v>28</v>
      </c>
      <c r="G2" s="2"/>
    </row>
    <row r="3" customFormat="false" ht="15" hidden="false" customHeight="false" outlineLevel="0" collapsed="false">
      <c r="A3" s="2" t="s">
        <v>766</v>
      </c>
      <c r="B3" s="2" t="n">
        <v>8</v>
      </c>
      <c r="C3" s="2" t="n">
        <v>2.19</v>
      </c>
      <c r="D3" s="2" t="n">
        <v>2.386</v>
      </c>
      <c r="E3" s="2" t="n">
        <v>1.492</v>
      </c>
      <c r="F3" s="2" t="n">
        <v>20</v>
      </c>
      <c r="G3" s="2"/>
    </row>
    <row r="4" customFormat="false" ht="15" hidden="false" customHeight="false" outlineLevel="0" collapsed="false">
      <c r="A4" s="2" t="s">
        <v>767</v>
      </c>
      <c r="B4" s="2" t="n">
        <v>5</v>
      </c>
      <c r="C4" s="2" t="n">
        <v>1.08</v>
      </c>
      <c r="D4" s="2" t="n">
        <v>2.272</v>
      </c>
      <c r="E4" s="2" t="n">
        <v>1.452</v>
      </c>
      <c r="F4" s="2" t="n">
        <v>20</v>
      </c>
      <c r="G4" s="2"/>
    </row>
    <row r="5" customFormat="false" ht="15" hidden="false" customHeight="false" outlineLevel="0" collapsed="false">
      <c r="A5" s="2" t="s">
        <v>768</v>
      </c>
      <c r="B5" s="2" t="n">
        <v>12</v>
      </c>
      <c r="C5" s="2" t="n">
        <v>4.68</v>
      </c>
      <c r="D5" s="2" t="n">
        <v>2.097</v>
      </c>
      <c r="E5" s="2" t="n">
        <v>1.39</v>
      </c>
      <c r="F5" s="2" t="n">
        <v>40</v>
      </c>
      <c r="G5" s="2"/>
    </row>
    <row r="6" customFormat="false" ht="15" hidden="false" customHeight="false" outlineLevel="0" collapsed="false">
      <c r="A6" s="2" t="s">
        <v>769</v>
      </c>
      <c r="B6" s="2" t="n">
        <v>15</v>
      </c>
      <c r="C6" s="2" t="n">
        <v>7.54</v>
      </c>
      <c r="D6" s="2" t="n">
        <v>1.781</v>
      </c>
      <c r="E6" s="2" t="n">
        <v>1.277</v>
      </c>
      <c r="F6" s="2" t="n">
        <v>51</v>
      </c>
      <c r="G6" s="2"/>
    </row>
    <row r="7" customFormat="false" ht="15" hidden="false" customHeight="false" outlineLevel="0" collapsed="false">
      <c r="A7" s="2" t="s">
        <v>770</v>
      </c>
      <c r="B7" s="2" t="n">
        <v>3</v>
      </c>
      <c r="C7" s="2" t="n">
        <v>0.83</v>
      </c>
      <c r="D7" s="2" t="n">
        <v>1.764</v>
      </c>
      <c r="E7" s="2" t="n">
        <v>1.271</v>
      </c>
      <c r="F7" s="2" t="n">
        <v>20</v>
      </c>
      <c r="G7" s="2"/>
    </row>
    <row r="8" customFormat="false" ht="15" hidden="false" customHeight="false" outlineLevel="0" collapsed="false">
      <c r="A8" s="2" t="s">
        <v>771</v>
      </c>
      <c r="B8" s="2" t="n">
        <v>5</v>
      </c>
      <c r="C8" s="2" t="n">
        <v>2.36</v>
      </c>
      <c r="D8" s="2" t="n">
        <v>1.607</v>
      </c>
      <c r="E8" s="2" t="n">
        <v>1.215</v>
      </c>
      <c r="F8" s="2" t="n">
        <v>12</v>
      </c>
      <c r="G8" s="2"/>
    </row>
    <row r="9" customFormat="false" ht="15" hidden="false" customHeight="false" outlineLevel="0" collapsed="false">
      <c r="A9" s="2" t="s">
        <v>772</v>
      </c>
      <c r="B9" s="2" t="n">
        <v>11</v>
      </c>
      <c r="C9" s="2" t="n">
        <v>7.06</v>
      </c>
      <c r="D9" s="2" t="n">
        <v>1.435</v>
      </c>
      <c r="E9" s="2" t="n">
        <v>1.154</v>
      </c>
      <c r="F9" s="2" t="n">
        <v>34</v>
      </c>
      <c r="G9" s="2"/>
    </row>
    <row r="10" customFormat="false" ht="15" hidden="false" customHeight="false" outlineLevel="0" collapsed="false">
      <c r="A10" s="2" t="s">
        <v>773</v>
      </c>
      <c r="B10" s="2" t="n">
        <v>1</v>
      </c>
      <c r="C10" s="2" t="n">
        <v>0.12</v>
      </c>
      <c r="D10" s="2" t="n">
        <v>1.414</v>
      </c>
      <c r="E10" s="2" t="n">
        <v>1.147</v>
      </c>
      <c r="F10" s="2" t="n">
        <v>2</v>
      </c>
      <c r="G10" s="6" t="s">
        <v>774</v>
      </c>
    </row>
    <row r="11" customFormat="false" ht="15" hidden="false" customHeight="false" outlineLevel="0" collapsed="false">
      <c r="A11" s="2" t="s">
        <v>775</v>
      </c>
      <c r="B11" s="2" t="n">
        <v>7</v>
      </c>
      <c r="C11" s="2" t="n">
        <v>4.57</v>
      </c>
      <c r="D11" s="2" t="n">
        <v>1.371</v>
      </c>
      <c r="E11" s="2" t="n">
        <v>1.132</v>
      </c>
      <c r="F11" s="2" t="n">
        <v>25</v>
      </c>
      <c r="G11" s="2"/>
    </row>
    <row r="12" customFormat="false" ht="15" hidden="false" customHeight="false" outlineLevel="0" collapsed="false">
      <c r="A12" s="2" t="s">
        <v>776</v>
      </c>
      <c r="B12" s="2" t="n">
        <v>7</v>
      </c>
      <c r="C12" s="2" t="n">
        <v>4.68</v>
      </c>
      <c r="D12" s="2" t="n">
        <v>1.348</v>
      </c>
      <c r="E12" s="2" t="n">
        <v>1.123</v>
      </c>
      <c r="F12" s="2" t="n">
        <v>36</v>
      </c>
      <c r="G12" s="2"/>
    </row>
    <row r="13" customFormat="false" ht="15" hidden="false" customHeight="false" outlineLevel="0" collapsed="false">
      <c r="A13" s="2" t="s">
        <v>777</v>
      </c>
      <c r="B13" s="2" t="n">
        <v>11</v>
      </c>
      <c r="C13" s="2" t="n">
        <v>7.76</v>
      </c>
      <c r="D13" s="2" t="n">
        <v>1.332</v>
      </c>
      <c r="E13" s="2" t="n">
        <v>1.118</v>
      </c>
      <c r="F13" s="2" t="n">
        <v>47</v>
      </c>
      <c r="G13" s="2"/>
    </row>
    <row r="14" customFormat="false" ht="15" hidden="false" customHeight="false" outlineLevel="0" collapsed="false">
      <c r="A14" s="2" t="s">
        <v>778</v>
      </c>
      <c r="B14" s="2" t="n">
        <v>3</v>
      </c>
      <c r="C14" s="2" t="n">
        <v>1.79</v>
      </c>
      <c r="D14" s="2" t="n">
        <v>1.32</v>
      </c>
      <c r="E14" s="2" t="n">
        <v>1.114</v>
      </c>
      <c r="F14" s="2" t="n">
        <v>22</v>
      </c>
      <c r="G14" s="2"/>
    </row>
    <row r="15" customFormat="false" ht="15" hidden="false" customHeight="false" outlineLevel="0" collapsed="false">
      <c r="A15" s="2" t="s">
        <v>779</v>
      </c>
      <c r="B15" s="2" t="n">
        <v>9</v>
      </c>
      <c r="C15" s="2" t="n">
        <v>6.48</v>
      </c>
      <c r="D15" s="2" t="n">
        <v>1.298</v>
      </c>
      <c r="E15" s="2" t="n">
        <v>1.106</v>
      </c>
      <c r="F15" s="2" t="n">
        <v>25</v>
      </c>
      <c r="G15" s="2"/>
    </row>
    <row r="16" customFormat="false" ht="15" hidden="false" customHeight="false" outlineLevel="0" collapsed="false">
      <c r="A16" s="2" t="s">
        <v>780</v>
      </c>
      <c r="B16" s="2" t="n">
        <v>6</v>
      </c>
      <c r="C16" s="2" t="n">
        <v>4.26</v>
      </c>
      <c r="D16" s="2" t="n">
        <v>1.278</v>
      </c>
      <c r="E16" s="2" t="n">
        <v>1.099</v>
      </c>
      <c r="F16" s="2" t="n">
        <v>39</v>
      </c>
      <c r="G16" s="2"/>
    </row>
    <row r="17" customFormat="false" ht="15" hidden="false" customHeight="false" outlineLevel="0" collapsed="false">
      <c r="A17" s="2" t="s">
        <v>781</v>
      </c>
      <c r="B17" s="2" t="n">
        <v>7</v>
      </c>
      <c r="C17" s="2" t="n">
        <v>5.68</v>
      </c>
      <c r="D17" s="2" t="n">
        <v>1.171</v>
      </c>
      <c r="E17" s="2" t="n">
        <v>1.061</v>
      </c>
      <c r="F17" s="2" t="n">
        <v>47</v>
      </c>
      <c r="G17" s="2"/>
    </row>
    <row r="18" customFormat="false" ht="15" hidden="false" customHeight="false" outlineLevel="0" collapsed="false">
      <c r="A18" s="2" t="s">
        <v>782</v>
      </c>
      <c r="B18" s="2" t="n">
        <v>3</v>
      </c>
      <c r="C18" s="2" t="n">
        <v>2.27</v>
      </c>
      <c r="D18" s="2" t="n">
        <v>1.171</v>
      </c>
      <c r="E18" s="2" t="n">
        <v>1.061</v>
      </c>
      <c r="F18" s="2" t="n">
        <v>19</v>
      </c>
      <c r="G18" s="2"/>
    </row>
    <row r="19" customFormat="false" ht="15" hidden="false" customHeight="false" outlineLevel="0" collapsed="false">
      <c r="A19" s="2" t="s">
        <v>783</v>
      </c>
      <c r="B19" s="2" t="n">
        <v>3</v>
      </c>
      <c r="C19" s="2" t="n">
        <v>2.39</v>
      </c>
      <c r="D19" s="2" t="n">
        <v>1.138</v>
      </c>
      <c r="E19" s="2" t="n">
        <v>1.049</v>
      </c>
      <c r="F19" s="2" t="n">
        <v>10</v>
      </c>
      <c r="G19" s="2"/>
    </row>
    <row r="20" customFormat="false" ht="15" hidden="false" customHeight="false" outlineLevel="0" collapsed="false">
      <c r="A20" s="2" t="s">
        <v>784</v>
      </c>
      <c r="B20" s="2" t="n">
        <v>7</v>
      </c>
      <c r="C20" s="2" t="n">
        <v>6.34</v>
      </c>
      <c r="D20" s="2" t="n">
        <v>1.079</v>
      </c>
      <c r="E20" s="2" t="n">
        <v>1.028</v>
      </c>
      <c r="F20" s="2" t="n">
        <v>46</v>
      </c>
      <c r="G20" s="2"/>
    </row>
    <row r="21" customFormat="false" ht="15" hidden="false" customHeight="false" outlineLevel="0" collapsed="false">
      <c r="A21" s="2" t="s">
        <v>785</v>
      </c>
      <c r="B21" s="2" t="n">
        <v>6</v>
      </c>
      <c r="C21" s="2" t="n">
        <v>5.44</v>
      </c>
      <c r="D21" s="2" t="n">
        <v>1.075</v>
      </c>
      <c r="E21" s="2" t="n">
        <v>1.027</v>
      </c>
      <c r="F21" s="2" t="n">
        <v>36</v>
      </c>
      <c r="G21" s="2"/>
    </row>
    <row r="22" customFormat="false" ht="15" hidden="false" customHeight="false" outlineLevel="0" collapsed="false">
      <c r="A22" s="2" t="s">
        <v>786</v>
      </c>
      <c r="B22" s="2" t="n">
        <v>8</v>
      </c>
      <c r="C22" s="2" t="n">
        <v>7.6</v>
      </c>
      <c r="D22" s="2" t="n">
        <v>1.042</v>
      </c>
      <c r="E22" s="2" t="n">
        <v>1.015</v>
      </c>
      <c r="F22" s="2" t="n">
        <v>39</v>
      </c>
      <c r="G22" s="2"/>
    </row>
    <row r="23" customFormat="false" ht="15" hidden="false" customHeight="false" outlineLevel="0" collapsed="false">
      <c r="A23" s="2" t="s">
        <v>787</v>
      </c>
      <c r="B23" s="2" t="n">
        <v>6</v>
      </c>
      <c r="C23" s="2" t="n">
        <v>6.06</v>
      </c>
      <c r="D23" s="2" t="n">
        <v>0.993</v>
      </c>
      <c r="E23" s="2" t="n">
        <v>0.997</v>
      </c>
      <c r="F23" s="2" t="n">
        <v>40</v>
      </c>
      <c r="G23" s="2"/>
    </row>
    <row r="24" customFormat="false" ht="15" hidden="false" customHeight="false" outlineLevel="0" collapsed="false">
      <c r="A24" s="2" t="s">
        <v>788</v>
      </c>
      <c r="B24" s="2" t="n">
        <v>6</v>
      </c>
      <c r="C24" s="2" t="n">
        <v>6.06</v>
      </c>
      <c r="D24" s="2" t="n">
        <v>0.993</v>
      </c>
      <c r="E24" s="2" t="n">
        <v>0.997</v>
      </c>
      <c r="F24" s="2" t="n">
        <v>36</v>
      </c>
      <c r="G24" s="2"/>
    </row>
    <row r="25" customFormat="false" ht="15" hidden="false" customHeight="false" outlineLevel="0" collapsed="false">
      <c r="A25" s="2" t="s">
        <v>789</v>
      </c>
      <c r="B25" s="2" t="n">
        <v>5</v>
      </c>
      <c r="C25" s="2" t="n">
        <v>5.5</v>
      </c>
      <c r="D25" s="2" t="n">
        <v>0.933</v>
      </c>
      <c r="E25" s="2" t="n">
        <v>0.976</v>
      </c>
      <c r="F25" s="2" t="n">
        <v>44</v>
      </c>
      <c r="G25" s="2"/>
    </row>
    <row r="26" customFormat="false" ht="15" hidden="false" customHeight="false" outlineLevel="0" collapsed="false">
      <c r="A26" s="2" t="s">
        <v>790</v>
      </c>
      <c r="B26" s="2" t="n">
        <v>0</v>
      </c>
      <c r="C26" s="2" t="n">
        <v>0.16</v>
      </c>
      <c r="D26" s="2" t="n">
        <v>0.925</v>
      </c>
      <c r="E26" s="2" t="n">
        <v>0.973</v>
      </c>
      <c r="F26" s="2" t="n">
        <v>4</v>
      </c>
      <c r="G26" s="6" t="s">
        <v>774</v>
      </c>
    </row>
    <row r="27" customFormat="false" ht="15" hidden="false" customHeight="false" outlineLevel="0" collapsed="false">
      <c r="A27" s="2" t="s">
        <v>791</v>
      </c>
      <c r="B27" s="2" t="n">
        <v>0</v>
      </c>
      <c r="C27" s="2" t="n">
        <v>0.22</v>
      </c>
      <c r="D27" s="2" t="n">
        <v>0.903</v>
      </c>
      <c r="E27" s="2" t="n">
        <v>0.966</v>
      </c>
      <c r="F27" s="2" t="n">
        <v>6</v>
      </c>
      <c r="G27" s="2"/>
    </row>
    <row r="28" customFormat="false" ht="15" hidden="false" customHeight="false" outlineLevel="0" collapsed="false">
      <c r="A28" s="2" t="s">
        <v>792</v>
      </c>
      <c r="B28" s="2" t="n">
        <v>4</v>
      </c>
      <c r="C28" s="2" t="n">
        <v>4.93</v>
      </c>
      <c r="D28" s="2" t="n">
        <v>0.865</v>
      </c>
      <c r="E28" s="2" t="n">
        <v>0.952</v>
      </c>
      <c r="F28" s="2" t="n">
        <v>22</v>
      </c>
      <c r="G28" s="2"/>
    </row>
    <row r="29" customFormat="false" ht="15" hidden="false" customHeight="false" outlineLevel="0" collapsed="false">
      <c r="A29" s="2" t="s">
        <v>793</v>
      </c>
      <c r="B29" s="2" t="n">
        <v>1</v>
      </c>
      <c r="C29" s="2" t="n">
        <v>1.6</v>
      </c>
      <c r="D29" s="2" t="n">
        <v>0.833</v>
      </c>
      <c r="E29" s="2" t="n">
        <v>0.941</v>
      </c>
      <c r="F29" s="2" t="n">
        <v>17</v>
      </c>
      <c r="G29" s="2"/>
    </row>
    <row r="30" customFormat="false" ht="15" hidden="false" customHeight="false" outlineLevel="0" collapsed="false">
      <c r="A30" s="2" t="s">
        <v>794</v>
      </c>
      <c r="B30" s="2" t="n">
        <v>7</v>
      </c>
      <c r="C30" s="2" t="n">
        <v>8.98</v>
      </c>
      <c r="D30" s="2" t="n">
        <v>0.819</v>
      </c>
      <c r="E30" s="2" t="n">
        <v>0.936</v>
      </c>
      <c r="F30" s="2" t="n">
        <v>31</v>
      </c>
      <c r="G30" s="2"/>
    </row>
    <row r="31" customFormat="false" ht="15" hidden="false" customHeight="false" outlineLevel="0" collapsed="false">
      <c r="A31" s="2" t="s">
        <v>795</v>
      </c>
      <c r="B31" s="2" t="n">
        <v>8</v>
      </c>
      <c r="C31" s="2" t="n">
        <v>11.02</v>
      </c>
      <c r="D31" s="2" t="n">
        <v>0.768</v>
      </c>
      <c r="E31" s="2" t="n">
        <v>0.918</v>
      </c>
      <c r="F31" s="2" t="n">
        <v>47</v>
      </c>
      <c r="G31" s="2"/>
    </row>
    <row r="32" customFormat="false" ht="15" hidden="false" customHeight="false" outlineLevel="0" collapsed="false">
      <c r="A32" s="2" t="s">
        <v>796</v>
      </c>
      <c r="B32" s="2" t="n">
        <v>0</v>
      </c>
      <c r="C32" s="2" t="n">
        <v>0.65</v>
      </c>
      <c r="D32" s="2" t="n">
        <v>0.755</v>
      </c>
      <c r="E32" s="2" t="n">
        <v>0.913</v>
      </c>
      <c r="F32" s="2" t="n">
        <v>1</v>
      </c>
      <c r="G32" s="6" t="s">
        <v>774</v>
      </c>
    </row>
    <row r="33" customFormat="false" ht="15" hidden="false" customHeight="false" outlineLevel="0" collapsed="false">
      <c r="A33" s="2" t="s">
        <v>797</v>
      </c>
      <c r="B33" s="2" t="n">
        <v>4</v>
      </c>
      <c r="C33" s="2" t="n">
        <v>6.16</v>
      </c>
      <c r="D33" s="2" t="n">
        <v>0.736</v>
      </c>
      <c r="E33" s="2" t="n">
        <v>0.906</v>
      </c>
      <c r="F33" s="2" t="n">
        <v>31</v>
      </c>
      <c r="G33" s="2"/>
    </row>
    <row r="34" customFormat="false" ht="15" hidden="false" customHeight="false" outlineLevel="0" collapsed="false">
      <c r="A34" s="2" t="s">
        <v>798</v>
      </c>
      <c r="B34" s="2" t="n">
        <v>4</v>
      </c>
      <c r="C34" s="2" t="n">
        <v>6.31</v>
      </c>
      <c r="D34" s="2" t="n">
        <v>0.722</v>
      </c>
      <c r="E34" s="2" t="n">
        <v>0.901</v>
      </c>
      <c r="F34" s="2" t="n">
        <v>33</v>
      </c>
      <c r="G34" s="2"/>
    </row>
    <row r="35" customFormat="false" ht="15" hidden="false" customHeight="false" outlineLevel="0" collapsed="false">
      <c r="A35" s="2" t="s">
        <v>799</v>
      </c>
      <c r="B35" s="2" t="n">
        <v>4</v>
      </c>
      <c r="C35" s="2" t="n">
        <v>6.31</v>
      </c>
      <c r="D35" s="2" t="n">
        <v>0.722</v>
      </c>
      <c r="E35" s="2" t="n">
        <v>0.901</v>
      </c>
      <c r="F35" s="2" t="n">
        <v>28</v>
      </c>
      <c r="G35" s="2"/>
    </row>
    <row r="36" customFormat="false" ht="15" hidden="false" customHeight="false" outlineLevel="0" collapsed="false">
      <c r="A36" s="2" t="s">
        <v>800</v>
      </c>
      <c r="B36" s="2" t="n">
        <v>5</v>
      </c>
      <c r="C36" s="2" t="n">
        <v>8.17</v>
      </c>
      <c r="D36" s="2" t="n">
        <v>0.688</v>
      </c>
      <c r="E36" s="2" t="n">
        <v>0.889</v>
      </c>
      <c r="F36" s="2" t="n">
        <v>52</v>
      </c>
      <c r="G36" s="2"/>
    </row>
    <row r="37" customFormat="false" ht="15" hidden="false" customHeight="false" outlineLevel="0" collapsed="false">
      <c r="A37" s="2" t="s">
        <v>801</v>
      </c>
      <c r="B37" s="2" t="n">
        <v>1</v>
      </c>
      <c r="C37" s="2" t="n">
        <v>2.44</v>
      </c>
      <c r="D37" s="2" t="n">
        <v>0.675</v>
      </c>
      <c r="E37" s="2" t="n">
        <v>0.885</v>
      </c>
      <c r="F37" s="2" t="n">
        <v>18</v>
      </c>
      <c r="G37" s="2"/>
    </row>
    <row r="38" customFormat="false" ht="15" hidden="false" customHeight="false" outlineLevel="0" collapsed="false">
      <c r="A38" s="2" t="s">
        <v>802</v>
      </c>
      <c r="B38" s="2" t="n">
        <v>3</v>
      </c>
      <c r="C38" s="2" t="n">
        <v>5.85</v>
      </c>
      <c r="D38" s="2" t="n">
        <v>0.637</v>
      </c>
      <c r="E38" s="2" t="n">
        <v>0.871</v>
      </c>
      <c r="F38" s="2" t="n">
        <v>30</v>
      </c>
      <c r="G38" s="2"/>
    </row>
    <row r="39" customFormat="false" ht="15" hidden="false" customHeight="false" outlineLevel="0" collapsed="false">
      <c r="A39" s="2" t="s">
        <v>803</v>
      </c>
      <c r="B39" s="2" t="n">
        <v>0</v>
      </c>
      <c r="C39" s="2" t="n">
        <v>1.27</v>
      </c>
      <c r="D39" s="2" t="n">
        <v>0.611</v>
      </c>
      <c r="E39" s="2" t="n">
        <v>0.862</v>
      </c>
      <c r="F39" s="2" t="n">
        <v>8</v>
      </c>
      <c r="G39" s="2"/>
    </row>
    <row r="40" customFormat="false" ht="15" hidden="false" customHeight="false" outlineLevel="0" collapsed="false">
      <c r="A40" s="2" t="s">
        <v>804</v>
      </c>
      <c r="B40" s="2" t="n">
        <v>2</v>
      </c>
      <c r="C40" s="2" t="n">
        <v>4.54</v>
      </c>
      <c r="D40" s="2" t="n">
        <v>0.612</v>
      </c>
      <c r="E40" s="2" t="n">
        <v>0.862</v>
      </c>
      <c r="F40" s="2" t="n">
        <v>25</v>
      </c>
      <c r="G40" s="2"/>
    </row>
    <row r="41" customFormat="false" ht="15" hidden="false" customHeight="false" outlineLevel="0" collapsed="false">
      <c r="A41" s="2" t="s">
        <v>805</v>
      </c>
      <c r="B41" s="2" t="n">
        <v>2</v>
      </c>
      <c r="C41" s="2" t="n">
        <v>5.84</v>
      </c>
      <c r="D41" s="2" t="n">
        <v>0.51</v>
      </c>
      <c r="E41" s="2" t="n">
        <v>0.826</v>
      </c>
      <c r="F41" s="2" t="n">
        <v>31</v>
      </c>
      <c r="G41" s="2"/>
    </row>
    <row r="42" customFormat="false" ht="15" hidden="false" customHeight="false" outlineLevel="0" collapsed="false">
      <c r="A42" s="2" t="s">
        <v>806</v>
      </c>
      <c r="B42" s="2" t="n">
        <v>2</v>
      </c>
      <c r="C42" s="2" t="n">
        <v>5.96</v>
      </c>
      <c r="D42" s="2" t="n">
        <v>0.502</v>
      </c>
      <c r="E42" s="2" t="n">
        <v>0.823</v>
      </c>
      <c r="F42" s="2" t="n">
        <v>36</v>
      </c>
      <c r="G42" s="6" t="s">
        <v>807</v>
      </c>
    </row>
    <row r="43" customFormat="false" ht="15" hidden="false" customHeight="false" outlineLevel="0" collapsed="false">
      <c r="A43" s="2" t="s">
        <v>808</v>
      </c>
      <c r="B43" s="2" t="n">
        <v>4</v>
      </c>
      <c r="C43" s="2" t="n">
        <v>10.66</v>
      </c>
      <c r="D43" s="2" t="n">
        <v>0.474</v>
      </c>
      <c r="E43" s="2" t="n">
        <v>0.813</v>
      </c>
      <c r="F43" s="2" t="n">
        <v>60</v>
      </c>
      <c r="G43" s="2"/>
    </row>
    <row r="44" customFormat="false" ht="15" hidden="false" customHeight="false" outlineLevel="0" collapsed="false">
      <c r="A44" s="2" t="s">
        <v>809</v>
      </c>
      <c r="B44" s="2" t="n">
        <v>2</v>
      </c>
      <c r="C44" s="2" t="n">
        <v>6.56</v>
      </c>
      <c r="D44" s="2" t="n">
        <v>0.467</v>
      </c>
      <c r="E44" s="2" t="n">
        <v>0.811</v>
      </c>
      <c r="F44" s="2" t="n">
        <v>27</v>
      </c>
      <c r="G44" s="6" t="s">
        <v>807</v>
      </c>
    </row>
    <row r="45" customFormat="false" ht="15" hidden="false" customHeight="false" outlineLevel="0" collapsed="false">
      <c r="A45" s="2" t="s">
        <v>810</v>
      </c>
      <c r="B45" s="2" t="n">
        <v>1</v>
      </c>
      <c r="C45" s="2" t="n">
        <v>8.32</v>
      </c>
      <c r="D45" s="2" t="n">
        <v>0.291</v>
      </c>
      <c r="E45" s="2" t="n">
        <v>0.748</v>
      </c>
      <c r="F45" s="2" t="n">
        <v>41</v>
      </c>
      <c r="G45" s="6" t="s">
        <v>807</v>
      </c>
    </row>
    <row r="46" customFormat="false" ht="15" hidden="false" customHeight="false" outlineLevel="0" collapsed="false">
      <c r="A46" s="2" t="s">
        <v>811</v>
      </c>
      <c r="B46" s="2" t="n">
        <v>0</v>
      </c>
      <c r="C46" s="2" t="n">
        <v>6.05</v>
      </c>
      <c r="D46" s="2" t="n">
        <v>0.248</v>
      </c>
      <c r="E46" s="2" t="n">
        <v>0.733</v>
      </c>
      <c r="F46" s="2" t="n">
        <v>23</v>
      </c>
      <c r="G46" s="2"/>
    </row>
    <row r="48" customFormat="false" ht="15" hidden="false" customHeight="false" outlineLevel="0" collapsed="false">
      <c r="A48" s="2" t="s">
        <v>812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2026-07-25T20:43:16Z</dcterms:created>
  <dc:creator>openpyxl</dc:creator>
  <dc:description/>
  <dc:language>en-US</dc:language>
  <cp:lastModifiedBy/>
  <dcterms:modified xsi:type="dcterms:W3CDTF">2026-07-25T20:43:16Z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